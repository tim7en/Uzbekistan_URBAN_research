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Uzbekistan_URBAN_research\EstimateGDP\plots\"/>
    </mc:Choice>
  </mc:AlternateContent>
  <bookViews>
    <workbookView xWindow="0" yWindow="0" windowWidth="28800" windowHeight="12435"/>
  </bookViews>
  <sheets>
    <sheet name="comprehensive_city_gdp_estimate" sheetId="1" r:id="rId1"/>
  </sheets>
  <calcPr calcId="0"/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32" i="1"/>
  <c r="G33" i="1"/>
  <c r="G34" i="1"/>
  <c r="G21" i="1"/>
  <c r="D30" i="1" l="1"/>
  <c r="D25" i="1"/>
  <c r="D33" i="1"/>
  <c r="D34" i="1"/>
  <c r="D21" i="1"/>
  <c r="D28" i="1"/>
  <c r="D22" i="1"/>
  <c r="D23" i="1"/>
  <c r="D26" i="1"/>
  <c r="D32" i="1"/>
  <c r="D31" i="1"/>
  <c r="D27" i="1"/>
  <c r="D24" i="1"/>
  <c r="D29" i="1"/>
</calcChain>
</file>

<file path=xl/sharedStrings.xml><?xml version="1.0" encoding="utf-8"?>
<sst xmlns="http://schemas.openxmlformats.org/spreadsheetml/2006/main" count="83" uniqueCount="54">
  <si>
    <t>city</t>
  </si>
  <si>
    <t>ensemble_gdp_billion</t>
  </si>
  <si>
    <t>gdp_per_capita_usd</t>
  </si>
  <si>
    <t>confidence_score</t>
  </si>
  <si>
    <t>cagr_2017_2024</t>
  </si>
  <si>
    <t>gdp_formatted</t>
  </si>
  <si>
    <t>gdp_pc_formatted</t>
  </si>
  <si>
    <t>cagr_formatted</t>
  </si>
  <si>
    <t>Tashkent</t>
  </si>
  <si>
    <t>$34,14B</t>
  </si>
  <si>
    <t>$11;228</t>
  </si>
  <si>
    <t>Navoi</t>
  </si>
  <si>
    <t>$2,09B</t>
  </si>
  <si>
    <t>$12;947</t>
  </si>
  <si>
    <t>Namangan</t>
  </si>
  <si>
    <t>$1,63B</t>
  </si>
  <si>
    <t>$2;342</t>
  </si>
  <si>
    <t>Samarkand</t>
  </si>
  <si>
    <t>$1,59B</t>
  </si>
  <si>
    <t>$2;712</t>
  </si>
  <si>
    <t>Andijan</t>
  </si>
  <si>
    <t>$1,34B</t>
  </si>
  <si>
    <t>$2;780</t>
  </si>
  <si>
    <t>Bukhara</t>
  </si>
  <si>
    <t>$1,14B</t>
  </si>
  <si>
    <t>$3;869</t>
  </si>
  <si>
    <t>Nukus</t>
  </si>
  <si>
    <t>$0,87B</t>
  </si>
  <si>
    <t>$2;555</t>
  </si>
  <si>
    <t>Fergana</t>
  </si>
  <si>
    <t>$0,76B</t>
  </si>
  <si>
    <t>$2;370</t>
  </si>
  <si>
    <t>Qarshi</t>
  </si>
  <si>
    <t>$2;557</t>
  </si>
  <si>
    <t>Jizzakh</t>
  </si>
  <si>
    <t>$0,64B</t>
  </si>
  <si>
    <t>$3;260</t>
  </si>
  <si>
    <t>Termiz</t>
  </si>
  <si>
    <t>$0,44B</t>
  </si>
  <si>
    <t>$2;179</t>
  </si>
  <si>
    <t>Urgench</t>
  </si>
  <si>
    <t>$0,42B</t>
  </si>
  <si>
    <t>$2;748</t>
  </si>
  <si>
    <t>Gulistan</t>
  </si>
  <si>
    <t>$0,30B</t>
  </si>
  <si>
    <t>$3;044</t>
  </si>
  <si>
    <t>Nurafshon</t>
  </si>
  <si>
    <t>$0,29B</t>
  </si>
  <si>
    <t>$5;095</t>
  </si>
  <si>
    <t xml:space="preserve">Fergana </t>
  </si>
  <si>
    <t>City GDP/Capita</t>
  </si>
  <si>
    <t>Estimates of GDP</t>
  </si>
  <si>
    <t>City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</si>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</sst>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Ratio of a city GDP/Capita &amp; confidence scores</a:t>
            </a:r>
            <a:endParaRPr lang="ru-RU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4747656966455249E-2"/>
          <c:y val="0.10864645335156398"/>
          <c:w val="0.82482361278843264"/>
          <c:h val="0.70400026940015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comprehensive_city_gdp_estimate!$G$20</c:f>
              <c:strCache>
                <c:ptCount val="1"/>
                <c:pt idx="0">
                  <c:v>City GDP/Capita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comprehensive_city_gdp_estimate!$E$21:$E$34</c:f>
              <c:strCache>
                <c:ptCount val="14"/>
                <c:pt idx="0">
                  <c:v>Navoi</c:v>
                </c:pt>
                <c:pt idx="1">
                  <c:v>Tashkent</c:v>
                </c:pt>
                <c:pt idx="2">
                  <c:v>Nurafshon</c:v>
                </c:pt>
                <c:pt idx="3">
                  <c:v>Bukhara</c:v>
                </c:pt>
                <c:pt idx="4">
                  <c:v>Jizzakh</c:v>
                </c:pt>
                <c:pt idx="5">
                  <c:v>Gulistan</c:v>
                </c:pt>
                <c:pt idx="6">
                  <c:v>Andijan</c:v>
                </c:pt>
                <c:pt idx="7">
                  <c:v>Urgench</c:v>
                </c:pt>
                <c:pt idx="8">
                  <c:v>Samarkand</c:v>
                </c:pt>
                <c:pt idx="9">
                  <c:v>Qarshi</c:v>
                </c:pt>
                <c:pt idx="10">
                  <c:v>Nukus</c:v>
                </c:pt>
                <c:pt idx="11">
                  <c:v>Fergana</c:v>
                </c:pt>
                <c:pt idx="12">
                  <c:v>Namangan</c:v>
                </c:pt>
                <c:pt idx="13">
                  <c:v>Termiz</c:v>
                </c:pt>
              </c:strCache>
            </c:strRef>
          </c:cat>
          <c:val>
            <c:numRef>
              <c:f>comprehensive_city_gdp_estimate!$G$21:$G$34</c:f>
              <c:numCache>
                <c:formatCode>0.00</c:formatCode>
                <c:ptCount val="14"/>
                <c:pt idx="0">
                  <c:v>1</c:v>
                </c:pt>
                <c:pt idx="1">
                  <c:v>0.86721428635977138</c:v>
                </c:pt>
                <c:pt idx="2">
                  <c:v>0.39354299890253097</c:v>
                </c:pt>
                <c:pt idx="3">
                  <c:v>0.29881742291668772</c:v>
                </c:pt>
                <c:pt idx="4">
                  <c:v>0.25179370796295653</c:v>
                </c:pt>
                <c:pt idx="5">
                  <c:v>0.23514305908606453</c:v>
                </c:pt>
                <c:pt idx="6">
                  <c:v>0.21475318379156721</c:v>
                </c:pt>
                <c:pt idx="7">
                  <c:v>0.21224975888353984</c:v>
                </c:pt>
                <c:pt idx="8">
                  <c:v>0.20946997786293309</c:v>
                </c:pt>
                <c:pt idx="9">
                  <c:v>0.19750633792389827</c:v>
                </c:pt>
                <c:pt idx="10">
                  <c:v>0.19737866418044001</c:v>
                </c:pt>
                <c:pt idx="11">
                  <c:v>0.1830914856906157</c:v>
                </c:pt>
                <c:pt idx="12">
                  <c:v>0.18085538009662885</c:v>
                </c:pt>
                <c:pt idx="13">
                  <c:v>0.16830334416384629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88920"/>
        <c:axId val="125484216"/>
      </c:barChart>
      <c:lineChart>
        <c:grouping val="standard"/>
        <c:varyColors val="0"/>
        <c:ser>
          <c:idx val="1"/>
          <c:order val="1"/>
          <c:tx>
            <c:strRef>
              <c:f>comprehensive_city_gdp_estimate!$H$20</c:f>
              <c:strCache>
                <c:ptCount val="1"/>
                <c:pt idx="0">
                  <c:v>confidence_score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comprehensive_city_gdp_estimate!$H$21:$H$34</c:f>
              <c:numCache>
                <c:formatCode>General</c:formatCode>
                <c:ptCount val="14"/>
                <c:pt idx="0">
                  <c:v>0.71899999999999997</c:v>
                </c:pt>
                <c:pt idx="1">
                  <c:v>0.64600000000000002</c:v>
                </c:pt>
                <c:pt idx="2">
                  <c:v>0.85599999999999998</c:v>
                </c:pt>
                <c:pt idx="3">
                  <c:v>0.72899999999999998</c:v>
                </c:pt>
                <c:pt idx="4">
                  <c:v>0.84299999999999997</c:v>
                </c:pt>
                <c:pt idx="5">
                  <c:v>0.70299999999999996</c:v>
                </c:pt>
                <c:pt idx="6">
                  <c:v>0.79900000000000004</c:v>
                </c:pt>
                <c:pt idx="7">
                  <c:v>0.81299999999999994</c:v>
                </c:pt>
                <c:pt idx="8">
                  <c:v>0.72099999999999997</c:v>
                </c:pt>
                <c:pt idx="9">
                  <c:v>0.61499999999999999</c:v>
                </c:pt>
                <c:pt idx="10">
                  <c:v>0.69599999999999995</c:v>
                </c:pt>
                <c:pt idx="11">
                  <c:v>0.76600000000000001</c:v>
                </c:pt>
                <c:pt idx="12">
                  <c:v>0.80100000000000005</c:v>
                </c:pt>
                <c:pt idx="13">
                  <c:v>0.77300000000000002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91272"/>
        <c:axId val="125488136"/>
      </c:lineChart>
      <c:catAx>
        <c:axId val="12548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84216"/>
        <c:crosses val="autoZero"/>
        <c:auto val="1"/>
        <c:lblAlgn val="ctr"/>
        <c:lblOffset val="100"/>
        <c:noMultiLvlLbl val="0"/>
      </c:catAx>
      <c:valAx>
        <c:axId val="12548421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Ratio of city gdp/capita</a:t>
                </a:r>
                <a:endParaRPr lang="ru-RU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88920"/>
        <c:crosses val="autoZero"/>
        <c:crossBetween val="between"/>
      </c:valAx>
      <c:valAx>
        <c:axId val="125488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confidence score of estimates</a:t>
                </a:r>
                <a:endParaRPr lang="ru-RU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91272"/>
        <c:crosses val="max"/>
        <c:crossBetween val="between"/>
      </c:valAx>
      <c:catAx>
        <c:axId val="1254912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254881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765340238491134"/>
          <c:y val="0.4145127340010214"/>
          <c:w val="0.35733012749776216"/>
          <c:h val="4.9431699449067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380999</xdr:colOff>
      <xdr:row>15</xdr:row>
      <xdr:rowOff>68354</xdr:rowOff>
    </xdr:from>
    <xdr:to>
      <xdr:col>21</xdr:col>
      <xdr:colOff>414618</xdr:colOff>
      <xdr:row>38</xdr:row>
      <xdr:rowOff>22412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E3" sqref="E3"/>
    </sheetView>
  </sheetViews>
  <sheetFormatPr defaultRowHeight="15" x14ac:dyDescent="0.25"/>
  <cols>
    <col min="1" max="1" width="12.140625" customWidth="1"/>
    <col min="2" max="2" width="22.28515625" customWidth="1"/>
    <col min="3" max="3" width="20.140625" customWidth="1"/>
    <col min="4" max="4" width="18.28515625" customWidth="1"/>
    <col min="5" max="5" width="16.85546875" customWidth="1"/>
    <col min="6" max="6" width="20.42578125" customWidth="1"/>
    <col min="7" max="7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 t="s">
        <v>8</v>
      </c>
      <c r="B2">
        <v>34.142000000000003</v>
      </c>
      <c r="C2">
        <v>11227.878000000001</v>
      </c>
      <c r="D2">
        <v>0.71899999999999997</v>
      </c>
      <c r="E2">
        <v>13.2270633906152</v>
      </c>
      <c r="F2" t="s">
        <v>9</v>
      </c>
      <c r="G2" t="s">
        <v>10</v>
      </c>
      <c r="H2" s="1">
        <v>0.13200000000000001</v>
      </c>
      <c r="K2">
        <v>1</v>
      </c>
      <c r="L2" t="s">
        <v>8</v>
      </c>
      <c r="M2">
        <v>3323.1330107245617</v>
      </c>
    </row>
    <row r="3" spans="1:13" x14ac:dyDescent="0.25">
      <c r="A3" t="s">
        <v>11</v>
      </c>
      <c r="B3">
        <v>2.0880000000000001</v>
      </c>
      <c r="C3">
        <v>12947.063</v>
      </c>
      <c r="D3">
        <v>0.64600000000000002</v>
      </c>
      <c r="E3">
        <v>17.131253683407401</v>
      </c>
      <c r="F3" t="s">
        <v>12</v>
      </c>
      <c r="G3" t="s">
        <v>13</v>
      </c>
      <c r="H3" s="1">
        <v>0.17100000000000001</v>
      </c>
      <c r="K3">
        <v>2</v>
      </c>
      <c r="L3" t="s">
        <v>11</v>
      </c>
      <c r="M3">
        <v>4816.2810151369986</v>
      </c>
    </row>
    <row r="4" spans="1:13" x14ac:dyDescent="0.25">
      <c r="A4" t="s">
        <v>14</v>
      </c>
      <c r="B4">
        <v>1.631</v>
      </c>
      <c r="C4">
        <v>2341.5459999999998</v>
      </c>
      <c r="D4">
        <v>0.85599999999999998</v>
      </c>
      <c r="E4">
        <v>7.5322466890497699</v>
      </c>
      <c r="F4" t="s">
        <v>15</v>
      </c>
      <c r="G4" t="s">
        <v>16</v>
      </c>
      <c r="H4" s="1">
        <v>7.4999999999999997E-2</v>
      </c>
      <c r="K4">
        <v>3</v>
      </c>
      <c r="L4" t="s">
        <v>14</v>
      </c>
      <c r="M4">
        <v>745.6306891849905</v>
      </c>
    </row>
    <row r="5" spans="1:13" x14ac:dyDescent="0.25">
      <c r="A5" t="s">
        <v>17</v>
      </c>
      <c r="B5">
        <v>1.587</v>
      </c>
      <c r="C5">
        <v>2712.0210000000002</v>
      </c>
      <c r="D5">
        <v>0.72899999999999998</v>
      </c>
      <c r="E5">
        <v>3.8752704486668601</v>
      </c>
      <c r="F5" t="s">
        <v>18</v>
      </c>
      <c r="G5" t="s">
        <v>19</v>
      </c>
      <c r="H5" s="1">
        <v>3.9E-2</v>
      </c>
      <c r="K5">
        <v>4</v>
      </c>
      <c r="L5" t="s">
        <v>17</v>
      </c>
      <c r="M5">
        <v>883.9463565811169</v>
      </c>
    </row>
    <row r="6" spans="1:13" x14ac:dyDescent="0.25">
      <c r="A6" t="s">
        <v>20</v>
      </c>
      <c r="B6">
        <v>1.337</v>
      </c>
      <c r="C6">
        <v>2780.4229999999998</v>
      </c>
      <c r="D6">
        <v>0.84299999999999997</v>
      </c>
      <c r="E6">
        <v>7.4575704231636601</v>
      </c>
      <c r="F6" t="s">
        <v>21</v>
      </c>
      <c r="G6" t="s">
        <v>22</v>
      </c>
      <c r="H6" s="1">
        <v>7.4999999999999997E-2</v>
      </c>
      <c r="K6">
        <v>5</v>
      </c>
      <c r="L6" t="s">
        <v>20</v>
      </c>
      <c r="M6">
        <v>917.83638292281796</v>
      </c>
    </row>
    <row r="7" spans="1:13" x14ac:dyDescent="0.25">
      <c r="A7" t="s">
        <v>23</v>
      </c>
      <c r="B7">
        <v>1.139</v>
      </c>
      <c r="C7">
        <v>3868.808</v>
      </c>
      <c r="D7">
        <v>0.70299999999999996</v>
      </c>
      <c r="E7">
        <v>6.2307169002929301</v>
      </c>
      <c r="F7" t="s">
        <v>24</v>
      </c>
      <c r="G7" t="s">
        <v>25</v>
      </c>
      <c r="H7" s="1">
        <v>6.2E-2</v>
      </c>
      <c r="K7">
        <v>6</v>
      </c>
      <c r="L7" t="s">
        <v>23</v>
      </c>
      <c r="M7">
        <v>1135.4842711623419</v>
      </c>
    </row>
    <row r="8" spans="1:13" x14ac:dyDescent="0.25">
      <c r="A8" t="s">
        <v>26</v>
      </c>
      <c r="B8">
        <v>0.86699999999999999</v>
      </c>
      <c r="C8">
        <v>2555.4740000000002</v>
      </c>
      <c r="D8">
        <v>0.79900000000000004</v>
      </c>
      <c r="E8">
        <v>6.8621726563268899</v>
      </c>
      <c r="F8" t="s">
        <v>27</v>
      </c>
      <c r="G8" t="s">
        <v>28</v>
      </c>
      <c r="H8" s="1">
        <v>6.9000000000000006E-2</v>
      </c>
      <c r="K8">
        <v>7</v>
      </c>
      <c r="L8" t="s">
        <v>26</v>
      </c>
      <c r="M8">
        <v>865.35094456429636</v>
      </c>
    </row>
    <row r="9" spans="1:13" x14ac:dyDescent="0.25">
      <c r="A9" t="s">
        <v>29</v>
      </c>
      <c r="B9">
        <v>0.76300000000000001</v>
      </c>
      <c r="C9">
        <v>2370.4969999999998</v>
      </c>
      <c r="D9">
        <v>0.81299999999999994</v>
      </c>
      <c r="E9">
        <v>7.0671920883586399</v>
      </c>
      <c r="F9" t="s">
        <v>30</v>
      </c>
      <c r="G9" t="s">
        <v>31</v>
      </c>
      <c r="H9" s="1">
        <v>7.0999999999999994E-2</v>
      </c>
      <c r="K9">
        <v>8</v>
      </c>
      <c r="L9" t="s">
        <v>49</v>
      </c>
      <c r="M9">
        <v>810.18756759174437</v>
      </c>
    </row>
    <row r="10" spans="1:13" x14ac:dyDescent="0.25">
      <c r="A10" t="s">
        <v>32</v>
      </c>
      <c r="B10">
        <v>0.75600000000000001</v>
      </c>
      <c r="C10">
        <v>2557.127</v>
      </c>
      <c r="D10">
        <v>0.72099999999999997</v>
      </c>
      <c r="E10">
        <v>3.08664611461051</v>
      </c>
      <c r="F10" t="s">
        <v>30</v>
      </c>
      <c r="G10" t="s">
        <v>33</v>
      </c>
      <c r="H10" s="1">
        <v>3.1E-2</v>
      </c>
      <c r="K10">
        <v>9</v>
      </c>
      <c r="L10" t="s">
        <v>32</v>
      </c>
      <c r="M10">
        <v>787.2736921378953</v>
      </c>
    </row>
    <row r="11" spans="1:13" x14ac:dyDescent="0.25">
      <c r="A11" t="s">
        <v>34</v>
      </c>
      <c r="B11">
        <v>0.63800000000000001</v>
      </c>
      <c r="C11">
        <v>3259.989</v>
      </c>
      <c r="D11">
        <v>0.61499999999999999</v>
      </c>
      <c r="E11">
        <v>7.01529839042598</v>
      </c>
      <c r="F11" t="s">
        <v>35</v>
      </c>
      <c r="G11" t="s">
        <v>36</v>
      </c>
      <c r="H11" s="1">
        <v>7.0000000000000007E-2</v>
      </c>
      <c r="K11">
        <v>10</v>
      </c>
      <c r="L11" t="s">
        <v>34</v>
      </c>
      <c r="M11">
        <v>948.01356692572131</v>
      </c>
    </row>
    <row r="12" spans="1:13" x14ac:dyDescent="0.25">
      <c r="A12" t="s">
        <v>37</v>
      </c>
      <c r="B12">
        <v>0.439</v>
      </c>
      <c r="C12">
        <v>2179.0340000000001</v>
      </c>
      <c r="D12">
        <v>0.69599999999999995</v>
      </c>
      <c r="E12">
        <v>8.2766677566296902</v>
      </c>
      <c r="F12" t="s">
        <v>38</v>
      </c>
      <c r="G12" t="s">
        <v>39</v>
      </c>
      <c r="H12" s="1">
        <v>8.3000000000000004E-2</v>
      </c>
      <c r="K12">
        <v>11</v>
      </c>
      <c r="L12" t="s">
        <v>37</v>
      </c>
      <c r="M12">
        <v>633.91199083108768</v>
      </c>
    </row>
    <row r="13" spans="1:13" x14ac:dyDescent="0.25">
      <c r="A13" t="s">
        <v>40</v>
      </c>
      <c r="B13">
        <v>0.42099999999999999</v>
      </c>
      <c r="C13">
        <v>2748.011</v>
      </c>
      <c r="D13">
        <v>0.76600000000000001</v>
      </c>
      <c r="E13">
        <v>6.62363281704976</v>
      </c>
      <c r="F13" t="s">
        <v>41</v>
      </c>
      <c r="G13" t="s">
        <v>42</v>
      </c>
      <c r="H13" s="1">
        <v>6.6000000000000003E-2</v>
      </c>
      <c r="K13">
        <v>12</v>
      </c>
      <c r="L13" t="s">
        <v>40</v>
      </c>
      <c r="M13">
        <v>823.90626203883278</v>
      </c>
    </row>
    <row r="14" spans="1:13" x14ac:dyDescent="0.25">
      <c r="A14" t="s">
        <v>43</v>
      </c>
      <c r="B14">
        <v>0.30199999999999999</v>
      </c>
      <c r="C14">
        <v>3044.4119999999998</v>
      </c>
      <c r="D14">
        <v>0.80100000000000005</v>
      </c>
      <c r="E14">
        <v>5.9803440658978397</v>
      </c>
      <c r="F14" t="s">
        <v>44</v>
      </c>
      <c r="G14" t="s">
        <v>45</v>
      </c>
      <c r="H14" s="1">
        <v>0.06</v>
      </c>
      <c r="K14">
        <v>13</v>
      </c>
      <c r="L14" t="s">
        <v>43</v>
      </c>
      <c r="M14">
        <v>1112.5671474502119</v>
      </c>
    </row>
    <row r="15" spans="1:13" x14ac:dyDescent="0.25">
      <c r="A15" t="s">
        <v>46</v>
      </c>
      <c r="B15">
        <v>0.28599999999999998</v>
      </c>
      <c r="C15">
        <v>5095.2259999999997</v>
      </c>
      <c r="D15">
        <v>0.77300000000000002</v>
      </c>
      <c r="E15">
        <v>0</v>
      </c>
      <c r="F15" t="s">
        <v>47</v>
      </c>
      <c r="G15" t="s">
        <v>48</v>
      </c>
      <c r="H15" s="1">
        <v>0</v>
      </c>
      <c r="K15">
        <v>14</v>
      </c>
      <c r="L15" t="s">
        <v>46</v>
      </c>
      <c r="M15">
        <v>1972.3034240083095</v>
      </c>
    </row>
    <row r="20" spans="4:8" x14ac:dyDescent="0.25">
      <c r="D20" t="s">
        <v>53</v>
      </c>
      <c r="E20" t="s">
        <v>52</v>
      </c>
      <c r="F20" t="s">
        <v>51</v>
      </c>
      <c r="G20" t="s">
        <v>50</v>
      </c>
      <c r="H20" t="s">
        <v>3</v>
      </c>
    </row>
    <row r="21" spans="4:8" x14ac:dyDescent="0.25">
      <c r="D21" s="2">
        <f>RANK(G21,$G$21:$G$34)</f>
        <v>1</v>
      </c>
      <c r="E21" s="2" t="s">
        <v>11</v>
      </c>
      <c r="F21" s="2">
        <v>12947.063</v>
      </c>
      <c r="G21" s="2">
        <f>F21/$F$21</f>
        <v>1</v>
      </c>
      <c r="H21">
        <v>0.71899999999999997</v>
      </c>
    </row>
    <row r="22" spans="4:8" x14ac:dyDescent="0.25">
      <c r="D22" s="2">
        <f>RANK(G22,$G$21:$G$34)</f>
        <v>2</v>
      </c>
      <c r="E22" s="2" t="s">
        <v>8</v>
      </c>
      <c r="F22" s="2">
        <v>11227.878000000001</v>
      </c>
      <c r="G22" s="2">
        <f t="shared" ref="G22:G34" si="0">F22/$F$21</f>
        <v>0.86721428635977138</v>
      </c>
      <c r="H22">
        <v>0.64600000000000002</v>
      </c>
    </row>
    <row r="23" spans="4:8" x14ac:dyDescent="0.25">
      <c r="D23" s="2">
        <f>RANK(G23,$G$21:$G$34)</f>
        <v>3</v>
      </c>
      <c r="E23" s="2" t="s">
        <v>46</v>
      </c>
      <c r="F23" s="2">
        <v>5095.2259999999997</v>
      </c>
      <c r="G23" s="2">
        <f t="shared" si="0"/>
        <v>0.39354299890253097</v>
      </c>
      <c r="H23">
        <v>0.85599999999999998</v>
      </c>
    </row>
    <row r="24" spans="4:8" x14ac:dyDescent="0.25">
      <c r="D24" s="2">
        <f>RANK(G24,$G$21:$G$34)</f>
        <v>4</v>
      </c>
      <c r="E24" s="2" t="s">
        <v>23</v>
      </c>
      <c r="F24" s="2">
        <v>3868.808</v>
      </c>
      <c r="G24" s="2">
        <f t="shared" si="0"/>
        <v>0.29881742291668772</v>
      </c>
      <c r="H24">
        <v>0.72899999999999998</v>
      </c>
    </row>
    <row r="25" spans="4:8" x14ac:dyDescent="0.25">
      <c r="D25" s="2">
        <f>RANK(G25,$G$21:$G$34)</f>
        <v>5</v>
      </c>
      <c r="E25" s="2" t="s">
        <v>34</v>
      </c>
      <c r="F25" s="2">
        <v>3259.989</v>
      </c>
      <c r="G25" s="2">
        <f t="shared" si="0"/>
        <v>0.25179370796295653</v>
      </c>
      <c r="H25">
        <v>0.84299999999999997</v>
      </c>
    </row>
    <row r="26" spans="4:8" x14ac:dyDescent="0.25">
      <c r="D26" s="2">
        <f>RANK(G26,$G$21:$G$34)</f>
        <v>6</v>
      </c>
      <c r="E26" s="2" t="s">
        <v>43</v>
      </c>
      <c r="F26" s="2">
        <v>3044.4119999999998</v>
      </c>
      <c r="G26" s="2">
        <f t="shared" si="0"/>
        <v>0.23514305908606453</v>
      </c>
      <c r="H26">
        <v>0.70299999999999996</v>
      </c>
    </row>
    <row r="27" spans="4:8" x14ac:dyDescent="0.25">
      <c r="D27" s="2">
        <f>RANK(G27,$G$21:$G$34)</f>
        <v>7</v>
      </c>
      <c r="E27" s="2" t="s">
        <v>20</v>
      </c>
      <c r="F27" s="2">
        <v>2780.4229999999998</v>
      </c>
      <c r="G27" s="2">
        <f t="shared" si="0"/>
        <v>0.21475318379156721</v>
      </c>
      <c r="H27">
        <v>0.79900000000000004</v>
      </c>
    </row>
    <row r="28" spans="4:8" x14ac:dyDescent="0.25">
      <c r="D28" s="2">
        <f>RANK(G28,$G$21:$G$34)</f>
        <v>8</v>
      </c>
      <c r="E28" s="2" t="s">
        <v>40</v>
      </c>
      <c r="F28" s="2">
        <v>2748.011</v>
      </c>
      <c r="G28" s="2">
        <f t="shared" si="0"/>
        <v>0.21224975888353984</v>
      </c>
      <c r="H28">
        <v>0.81299999999999994</v>
      </c>
    </row>
    <row r="29" spans="4:8" x14ac:dyDescent="0.25">
      <c r="D29" s="2">
        <f>RANK(G29,$G$21:$G$34)</f>
        <v>9</v>
      </c>
      <c r="E29" s="2" t="s">
        <v>17</v>
      </c>
      <c r="F29" s="2">
        <v>2712.0210000000002</v>
      </c>
      <c r="G29" s="2">
        <f t="shared" si="0"/>
        <v>0.20946997786293309</v>
      </c>
      <c r="H29">
        <v>0.72099999999999997</v>
      </c>
    </row>
    <row r="30" spans="4:8" x14ac:dyDescent="0.25">
      <c r="D30" s="2">
        <f>RANK(G30,$G$21:$G$34)</f>
        <v>10</v>
      </c>
      <c r="E30" s="2" t="s">
        <v>32</v>
      </c>
      <c r="F30" s="2">
        <v>2557.127</v>
      </c>
      <c r="G30" s="2">
        <f t="shared" si="0"/>
        <v>0.19750633792389827</v>
      </c>
      <c r="H30">
        <v>0.61499999999999999</v>
      </c>
    </row>
    <row r="31" spans="4:8" x14ac:dyDescent="0.25">
      <c r="D31" s="2">
        <f>RANK(G31,$G$21:$G$34)</f>
        <v>11</v>
      </c>
      <c r="E31" s="2" t="s">
        <v>26</v>
      </c>
      <c r="F31" s="2">
        <v>2555.4740000000002</v>
      </c>
      <c r="G31" s="2">
        <f t="shared" si="0"/>
        <v>0.19737866418044001</v>
      </c>
      <c r="H31">
        <v>0.69599999999999995</v>
      </c>
    </row>
    <row r="32" spans="4:8" x14ac:dyDescent="0.25">
      <c r="D32" s="2">
        <f>RANK(G32,$G$21:$G$34)</f>
        <v>12</v>
      </c>
      <c r="E32" s="2" t="s">
        <v>29</v>
      </c>
      <c r="F32" s="2">
        <v>2370.4969999999998</v>
      </c>
      <c r="G32" s="2">
        <f t="shared" si="0"/>
        <v>0.1830914856906157</v>
      </c>
      <c r="H32">
        <v>0.76600000000000001</v>
      </c>
    </row>
    <row r="33" spans="4:8" x14ac:dyDescent="0.25">
      <c r="D33" s="2">
        <f>RANK(G33,$G$21:$G$34)</f>
        <v>13</v>
      </c>
      <c r="E33" s="2" t="s">
        <v>14</v>
      </c>
      <c r="F33" s="2">
        <v>2341.5459999999998</v>
      </c>
      <c r="G33" s="2">
        <f t="shared" si="0"/>
        <v>0.18085538009662885</v>
      </c>
      <c r="H33">
        <v>0.80100000000000005</v>
      </c>
    </row>
    <row r="34" spans="4:8" x14ac:dyDescent="0.25">
      <c r="D34" s="2">
        <f>RANK(G34,$G$21:$G$34)</f>
        <v>14</v>
      </c>
      <c r="E34" s="2" t="s">
        <v>37</v>
      </c>
      <c r="F34" s="2">
        <v>2179.0340000000001</v>
      </c>
      <c r="G34" s="2">
        <f t="shared" si="0"/>
        <v>0.16830334416384629</v>
      </c>
      <c r="H34">
        <v>0.77300000000000002</v>
      </c>
    </row>
  </sheetData>
  <sortState ref="D21:G34">
    <sortCondition descending="1" ref="G21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comprehensive_city_gdp_estimate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2025-09-30T08:31:39Z</dcterms:created>
  <dcterms:modified xsi:type="dcterms:W3CDTF">2025-09-30T08:31:39Z</dcterms:modified>
</cp:coreProperties>
</file>