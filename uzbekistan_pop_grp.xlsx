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ev\Uzbekistan_URBAN_research\"/>
    </mc:Choice>
  </mc:AlternateContent>
  <bookViews>
    <workbookView xWindow="0" yWindow="765" windowWidth="29400" windowHeight="16485" activeTab="2"/>
  </bookViews>
  <sheets>
    <sheet name="Population Data" sheetId="1" r:id="rId1"/>
    <sheet name="Sheet1" sheetId="3" r:id="rId2"/>
    <sheet name="Лист2" sheetId="5" r:id="rId3"/>
    <sheet name="Sources" sheetId="2" r:id="rId4"/>
    <sheet name="Лист1" sheetId="4" r:id="rId5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6" i="3" l="1"/>
  <c r="L18" i="4" l="1"/>
  <c r="M5" i="4" s="1"/>
  <c r="M8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23" i="4"/>
  <c r="L37" i="4"/>
  <c r="D48" i="4"/>
  <c r="E48" i="4"/>
  <c r="F48" i="4"/>
  <c r="G48" i="4"/>
  <c r="H48" i="4"/>
  <c r="I48" i="4"/>
  <c r="J48" i="4"/>
  <c r="K48" i="4"/>
  <c r="D49" i="4"/>
  <c r="E49" i="4"/>
  <c r="F49" i="4"/>
  <c r="G49" i="4"/>
  <c r="H49" i="4"/>
  <c r="I49" i="4"/>
  <c r="J49" i="4"/>
  <c r="K49" i="4"/>
  <c r="D50" i="4"/>
  <c r="E50" i="4"/>
  <c r="F50" i="4"/>
  <c r="G50" i="4"/>
  <c r="H50" i="4"/>
  <c r="I50" i="4"/>
  <c r="J50" i="4"/>
  <c r="K50" i="4"/>
  <c r="D39" i="4"/>
  <c r="E39" i="4"/>
  <c r="F39" i="4"/>
  <c r="G39" i="4"/>
  <c r="H39" i="4"/>
  <c r="I39" i="4"/>
  <c r="J39" i="4"/>
  <c r="K39" i="4"/>
  <c r="D40" i="4"/>
  <c r="E40" i="4"/>
  <c r="F40" i="4"/>
  <c r="G40" i="4"/>
  <c r="H40" i="4"/>
  <c r="I40" i="4"/>
  <c r="J40" i="4"/>
  <c r="K40" i="4"/>
  <c r="D41" i="4"/>
  <c r="E41" i="4"/>
  <c r="F41" i="4"/>
  <c r="G41" i="4"/>
  <c r="H41" i="4"/>
  <c r="I41" i="4"/>
  <c r="J41" i="4"/>
  <c r="K41" i="4"/>
  <c r="D42" i="4"/>
  <c r="E42" i="4"/>
  <c r="F42" i="4"/>
  <c r="G42" i="4"/>
  <c r="H42" i="4"/>
  <c r="I42" i="4"/>
  <c r="J42" i="4"/>
  <c r="K42" i="4"/>
  <c r="D43" i="4"/>
  <c r="E43" i="4"/>
  <c r="F43" i="4"/>
  <c r="G43" i="4"/>
  <c r="H43" i="4"/>
  <c r="I43" i="4"/>
  <c r="J43" i="4"/>
  <c r="K43" i="4"/>
  <c r="D44" i="4"/>
  <c r="E44" i="4"/>
  <c r="F44" i="4"/>
  <c r="G44" i="4"/>
  <c r="H44" i="4"/>
  <c r="I44" i="4"/>
  <c r="J44" i="4"/>
  <c r="K44" i="4"/>
  <c r="D45" i="4"/>
  <c r="E45" i="4"/>
  <c r="F45" i="4"/>
  <c r="G45" i="4"/>
  <c r="H45" i="4"/>
  <c r="I45" i="4"/>
  <c r="J45" i="4"/>
  <c r="K45" i="4"/>
  <c r="D46" i="4"/>
  <c r="E46" i="4"/>
  <c r="F46" i="4"/>
  <c r="G46" i="4"/>
  <c r="H46" i="4"/>
  <c r="I46" i="4"/>
  <c r="J46" i="4"/>
  <c r="K46" i="4"/>
  <c r="D47" i="4"/>
  <c r="E47" i="4"/>
  <c r="F47" i="4"/>
  <c r="G47" i="4"/>
  <c r="H47" i="4"/>
  <c r="I47" i="4"/>
  <c r="J47" i="4"/>
  <c r="K47" i="4"/>
  <c r="E38" i="4"/>
  <c r="F38" i="4"/>
  <c r="G38" i="4"/>
  <c r="H38" i="4"/>
  <c r="I38" i="4"/>
  <c r="J38" i="4"/>
  <c r="K38" i="4"/>
  <c r="D38" i="4"/>
  <c r="M24" i="4"/>
  <c r="M25" i="4"/>
  <c r="M26" i="4"/>
  <c r="M27" i="4"/>
  <c r="M28" i="4"/>
  <c r="M29" i="4"/>
  <c r="M30" i="4"/>
  <c r="M31" i="4"/>
  <c r="M32" i="4"/>
  <c r="M34" i="4"/>
  <c r="M35" i="4"/>
  <c r="M36" i="4"/>
  <c r="L34" i="4"/>
  <c r="L35" i="4"/>
  <c r="L36" i="4"/>
  <c r="L24" i="4"/>
  <c r="L25" i="4"/>
  <c r="L26" i="4"/>
  <c r="L27" i="4"/>
  <c r="L28" i="4"/>
  <c r="L29" i="4"/>
  <c r="L30" i="4"/>
  <c r="L31" i="4"/>
  <c r="L32" i="4"/>
  <c r="L33" i="4"/>
  <c r="M33" i="4" s="1"/>
  <c r="L23" i="4"/>
  <c r="M23" i="4" s="1"/>
  <c r="K18" i="4"/>
  <c r="J18" i="4"/>
  <c r="I18" i="4"/>
  <c r="H18" i="4"/>
  <c r="G18" i="4"/>
  <c r="F18" i="4"/>
  <c r="E18" i="4"/>
  <c r="D18" i="4"/>
  <c r="L17" i="4"/>
  <c r="L16" i="4"/>
  <c r="L15" i="4"/>
  <c r="L14" i="4"/>
  <c r="L13" i="4"/>
  <c r="L12" i="4"/>
  <c r="L11" i="4"/>
  <c r="L10" i="4"/>
  <c r="L9" i="4"/>
  <c r="L8" i="4"/>
  <c r="L7" i="4"/>
  <c r="L6" i="4"/>
  <c r="L5" i="4"/>
  <c r="L4" i="4"/>
  <c r="L76" i="3"/>
  <c r="L77" i="3"/>
  <c r="K63" i="3"/>
  <c r="K74" i="3"/>
  <c r="K64" i="3"/>
  <c r="K65" i="3"/>
  <c r="K66" i="3"/>
  <c r="K67" i="3"/>
  <c r="K68" i="3"/>
  <c r="K69" i="3"/>
  <c r="K70" i="3"/>
  <c r="K71" i="3"/>
  <c r="K72" i="3"/>
  <c r="K73" i="3"/>
  <c r="K75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44" i="3"/>
  <c r="BL44" i="3"/>
  <c r="BL45" i="3"/>
  <c r="BL46" i="3"/>
  <c r="BL47" i="3"/>
  <c r="BL48" i="3"/>
  <c r="BL49" i="3"/>
  <c r="BL50" i="3"/>
  <c r="BL51" i="3"/>
  <c r="BL52" i="3"/>
  <c r="BL53" i="3"/>
  <c r="BL54" i="3"/>
  <c r="BL55" i="3"/>
  <c r="BL56" i="3"/>
  <c r="BL43" i="3"/>
  <c r="AZ62" i="3"/>
  <c r="AZ63" i="3"/>
  <c r="AZ64" i="3"/>
  <c r="AZ65" i="3"/>
  <c r="AZ66" i="3"/>
  <c r="AZ67" i="3"/>
  <c r="AZ68" i="3"/>
  <c r="AZ69" i="3"/>
  <c r="AZ70" i="3"/>
  <c r="AZ71" i="3"/>
  <c r="AZ72" i="3"/>
  <c r="AZ73" i="3"/>
  <c r="AX62" i="3"/>
  <c r="AX63" i="3"/>
  <c r="AX74" i="3" s="1"/>
  <c r="AY63" i="3" s="1"/>
  <c r="AX64" i="3"/>
  <c r="AX65" i="3"/>
  <c r="AX66" i="3"/>
  <c r="AX67" i="3"/>
  <c r="AX68" i="3"/>
  <c r="AX69" i="3"/>
  <c r="AX70" i="3"/>
  <c r="AX71" i="3"/>
  <c r="AX72" i="3"/>
  <c r="AX73" i="3"/>
  <c r="AX61" i="3"/>
  <c r="BA25" i="3"/>
  <c r="BA26" i="3"/>
  <c r="BA27" i="3"/>
  <c r="BA28" i="3"/>
  <c r="BA29" i="3"/>
  <c r="BA30" i="3"/>
  <c r="BA31" i="3"/>
  <c r="BA32" i="3"/>
  <c r="BA33" i="3"/>
  <c r="BA34" i="3"/>
  <c r="BA35" i="3"/>
  <c r="BA36" i="3"/>
  <c r="BA37" i="3"/>
  <c r="BA24" i="3"/>
  <c r="AZ61" i="3"/>
  <c r="AZ57" i="3"/>
  <c r="AZ38" i="3"/>
  <c r="AS62" i="3"/>
  <c r="AT62" i="3"/>
  <c r="AU62" i="3"/>
  <c r="AV62" i="3"/>
  <c r="AW62" i="3"/>
  <c r="AS63" i="3"/>
  <c r="AT63" i="3"/>
  <c r="AU63" i="3"/>
  <c r="AV63" i="3"/>
  <c r="AW63" i="3"/>
  <c r="AS64" i="3"/>
  <c r="AT64" i="3"/>
  <c r="AU64" i="3"/>
  <c r="AV64" i="3"/>
  <c r="AW64" i="3"/>
  <c r="AS65" i="3"/>
  <c r="AT65" i="3"/>
  <c r="AU65" i="3"/>
  <c r="AV65" i="3"/>
  <c r="AW65" i="3"/>
  <c r="AS66" i="3"/>
  <c r="AT66" i="3"/>
  <c r="AU66" i="3"/>
  <c r="AV66" i="3"/>
  <c r="AW66" i="3"/>
  <c r="AS67" i="3"/>
  <c r="AT67" i="3"/>
  <c r="AU67" i="3"/>
  <c r="AV67" i="3"/>
  <c r="AW67" i="3"/>
  <c r="AS68" i="3"/>
  <c r="AT68" i="3"/>
  <c r="AU68" i="3"/>
  <c r="AV68" i="3"/>
  <c r="AW68" i="3"/>
  <c r="AS69" i="3"/>
  <c r="AT69" i="3"/>
  <c r="AU69" i="3"/>
  <c r="AV69" i="3"/>
  <c r="AW69" i="3"/>
  <c r="AS70" i="3"/>
  <c r="AT70" i="3"/>
  <c r="AU70" i="3"/>
  <c r="AV70" i="3"/>
  <c r="AW70" i="3"/>
  <c r="AS71" i="3"/>
  <c r="AT71" i="3"/>
  <c r="AU71" i="3"/>
  <c r="AV71" i="3"/>
  <c r="AW71" i="3"/>
  <c r="AS72" i="3"/>
  <c r="AT72" i="3"/>
  <c r="AU72" i="3"/>
  <c r="AV72" i="3"/>
  <c r="AW72" i="3"/>
  <c r="AS73" i="3"/>
  <c r="AT73" i="3"/>
  <c r="AU73" i="3"/>
  <c r="AV73" i="3"/>
  <c r="AW73" i="3"/>
  <c r="AT61" i="3"/>
  <c r="AU61" i="3"/>
  <c r="AV61" i="3"/>
  <c r="AW61" i="3"/>
  <c r="AS61" i="3"/>
  <c r="AT43" i="3"/>
  <c r="AU43" i="3"/>
  <c r="AV43" i="3"/>
  <c r="AW43" i="3"/>
  <c r="AX43" i="3"/>
  <c r="AY43" i="3"/>
  <c r="AZ43" i="3"/>
  <c r="AT44" i="3"/>
  <c r="AU44" i="3"/>
  <c r="AV44" i="3"/>
  <c r="AW44" i="3"/>
  <c r="AX44" i="3"/>
  <c r="AY44" i="3"/>
  <c r="AZ44" i="3"/>
  <c r="AT45" i="3"/>
  <c r="AU45" i="3"/>
  <c r="AV45" i="3"/>
  <c r="AW45" i="3"/>
  <c r="AX45" i="3"/>
  <c r="AY45" i="3"/>
  <c r="AZ45" i="3"/>
  <c r="AT46" i="3"/>
  <c r="AU46" i="3"/>
  <c r="AV46" i="3"/>
  <c r="AW46" i="3"/>
  <c r="AX46" i="3"/>
  <c r="AY46" i="3"/>
  <c r="AZ46" i="3"/>
  <c r="AT47" i="3"/>
  <c r="AU47" i="3"/>
  <c r="AV47" i="3"/>
  <c r="AW47" i="3"/>
  <c r="AX47" i="3"/>
  <c r="AY47" i="3"/>
  <c r="AZ47" i="3"/>
  <c r="AT48" i="3"/>
  <c r="AU48" i="3"/>
  <c r="AV48" i="3"/>
  <c r="AW48" i="3"/>
  <c r="AX48" i="3"/>
  <c r="AY48" i="3"/>
  <c r="AZ48" i="3"/>
  <c r="AT49" i="3"/>
  <c r="AU49" i="3"/>
  <c r="AV49" i="3"/>
  <c r="AW49" i="3"/>
  <c r="AX49" i="3"/>
  <c r="AY49" i="3"/>
  <c r="AZ49" i="3"/>
  <c r="AT50" i="3"/>
  <c r="AU50" i="3"/>
  <c r="AV50" i="3"/>
  <c r="AW50" i="3"/>
  <c r="AX50" i="3"/>
  <c r="AY50" i="3"/>
  <c r="AZ50" i="3"/>
  <c r="AT51" i="3"/>
  <c r="AU51" i="3"/>
  <c r="AV51" i="3"/>
  <c r="AW51" i="3"/>
  <c r="AX51" i="3"/>
  <c r="AY51" i="3"/>
  <c r="AZ51" i="3"/>
  <c r="AT52" i="3"/>
  <c r="AU52" i="3"/>
  <c r="AV52" i="3"/>
  <c r="AW52" i="3"/>
  <c r="AX52" i="3"/>
  <c r="AY52" i="3"/>
  <c r="AZ52" i="3"/>
  <c r="AT53" i="3"/>
  <c r="AU53" i="3"/>
  <c r="AV53" i="3"/>
  <c r="AW53" i="3"/>
  <c r="AX53" i="3"/>
  <c r="AY53" i="3"/>
  <c r="AZ53" i="3"/>
  <c r="AT54" i="3"/>
  <c r="AU54" i="3"/>
  <c r="AV54" i="3"/>
  <c r="AW54" i="3"/>
  <c r="AX54" i="3"/>
  <c r="AY54" i="3"/>
  <c r="AZ54" i="3"/>
  <c r="AT55" i="3"/>
  <c r="AU55" i="3"/>
  <c r="AV55" i="3"/>
  <c r="AW55" i="3"/>
  <c r="AX55" i="3"/>
  <c r="AY55" i="3"/>
  <c r="AZ55" i="3"/>
  <c r="AT56" i="3"/>
  <c r="AU56" i="3"/>
  <c r="AV56" i="3"/>
  <c r="AW56" i="3"/>
  <c r="AX56" i="3"/>
  <c r="AY56" i="3"/>
  <c r="AZ56" i="3"/>
  <c r="AS56" i="3"/>
  <c r="AS44" i="3"/>
  <c r="AS45" i="3"/>
  <c r="AS46" i="3"/>
  <c r="AS47" i="3"/>
  <c r="AS48" i="3"/>
  <c r="AS49" i="3"/>
  <c r="AS50" i="3"/>
  <c r="AS51" i="3"/>
  <c r="AS52" i="3"/>
  <c r="AS53" i="3"/>
  <c r="AS54" i="3"/>
  <c r="AS55" i="3"/>
  <c r="AI77" i="3"/>
  <c r="AJ77" i="3"/>
  <c r="AK77" i="3"/>
  <c r="AL77" i="3"/>
  <c r="AM77" i="3"/>
  <c r="AN77" i="3"/>
  <c r="AO77" i="3"/>
  <c r="AH77" i="3"/>
  <c r="AS43" i="3"/>
  <c r="AI64" i="3"/>
  <c r="AJ64" i="3"/>
  <c r="AK64" i="3"/>
  <c r="AL64" i="3"/>
  <c r="AM64" i="3"/>
  <c r="AN64" i="3"/>
  <c r="AO64" i="3"/>
  <c r="AI65" i="3"/>
  <c r="AJ65" i="3"/>
  <c r="AK65" i="3"/>
  <c r="AL65" i="3"/>
  <c r="AM65" i="3"/>
  <c r="AN65" i="3"/>
  <c r="AO65" i="3"/>
  <c r="AI66" i="3"/>
  <c r="AJ66" i="3"/>
  <c r="AK66" i="3"/>
  <c r="AL66" i="3"/>
  <c r="AM66" i="3"/>
  <c r="AN66" i="3"/>
  <c r="AO66" i="3"/>
  <c r="AI67" i="3"/>
  <c r="AJ67" i="3"/>
  <c r="AK67" i="3"/>
  <c r="AL67" i="3"/>
  <c r="AM67" i="3"/>
  <c r="AN67" i="3"/>
  <c r="AO67" i="3"/>
  <c r="AI68" i="3"/>
  <c r="AJ68" i="3"/>
  <c r="AK68" i="3"/>
  <c r="AL68" i="3"/>
  <c r="AM68" i="3"/>
  <c r="AN68" i="3"/>
  <c r="AO68" i="3"/>
  <c r="AI69" i="3"/>
  <c r="AJ69" i="3"/>
  <c r="AK69" i="3"/>
  <c r="AL69" i="3"/>
  <c r="AM69" i="3"/>
  <c r="AN69" i="3"/>
  <c r="AO69" i="3"/>
  <c r="AI70" i="3"/>
  <c r="AJ70" i="3"/>
  <c r="AK70" i="3"/>
  <c r="AL70" i="3"/>
  <c r="AM70" i="3"/>
  <c r="AN70" i="3"/>
  <c r="AO70" i="3"/>
  <c r="AI71" i="3"/>
  <c r="AJ71" i="3"/>
  <c r="AK71" i="3"/>
  <c r="AL71" i="3"/>
  <c r="AM71" i="3"/>
  <c r="AN71" i="3"/>
  <c r="AO71" i="3"/>
  <c r="AI72" i="3"/>
  <c r="AJ72" i="3"/>
  <c r="AK72" i="3"/>
  <c r="AL72" i="3"/>
  <c r="AM72" i="3"/>
  <c r="AN72" i="3"/>
  <c r="AO72" i="3"/>
  <c r="AI73" i="3"/>
  <c r="AJ73" i="3"/>
  <c r="AK73" i="3"/>
  <c r="AL73" i="3"/>
  <c r="AM73" i="3"/>
  <c r="AN73" i="3"/>
  <c r="AO73" i="3"/>
  <c r="AI74" i="3"/>
  <c r="AJ74" i="3"/>
  <c r="AK74" i="3"/>
  <c r="AL74" i="3"/>
  <c r="AM74" i="3"/>
  <c r="AN74" i="3"/>
  <c r="AO74" i="3"/>
  <c r="AI75" i="3"/>
  <c r="AJ75" i="3"/>
  <c r="AK75" i="3"/>
  <c r="AL75" i="3"/>
  <c r="AM75" i="3"/>
  <c r="AN75" i="3"/>
  <c r="AO75" i="3"/>
  <c r="AI76" i="3"/>
  <c r="AJ76" i="3"/>
  <c r="AK76" i="3"/>
  <c r="AL76" i="3"/>
  <c r="AM76" i="3"/>
  <c r="AN76" i="3"/>
  <c r="AO76" i="3"/>
  <c r="AH65" i="3"/>
  <c r="AH66" i="3"/>
  <c r="AH67" i="3"/>
  <c r="AH68" i="3"/>
  <c r="AH69" i="3"/>
  <c r="AH70" i="3"/>
  <c r="AH71" i="3"/>
  <c r="AH72" i="3"/>
  <c r="AH73" i="3"/>
  <c r="AH74" i="3"/>
  <c r="AH75" i="3"/>
  <c r="AH76" i="3"/>
  <c r="AH64" i="3"/>
  <c r="AI25" i="3"/>
  <c r="AJ25" i="3"/>
  <c r="AK25" i="3"/>
  <c r="AL25" i="3"/>
  <c r="AM25" i="3"/>
  <c r="AN25" i="3"/>
  <c r="AO25" i="3"/>
  <c r="AI26" i="3"/>
  <c r="AJ26" i="3"/>
  <c r="AK26" i="3"/>
  <c r="AL26" i="3"/>
  <c r="AM26" i="3"/>
  <c r="AN26" i="3"/>
  <c r="AO26" i="3"/>
  <c r="AI27" i="3"/>
  <c r="AJ27" i="3"/>
  <c r="AK27" i="3"/>
  <c r="AL27" i="3"/>
  <c r="AM27" i="3"/>
  <c r="AN27" i="3"/>
  <c r="AO27" i="3"/>
  <c r="AI28" i="3"/>
  <c r="AJ28" i="3"/>
  <c r="AK28" i="3"/>
  <c r="AL28" i="3"/>
  <c r="AM28" i="3"/>
  <c r="AN28" i="3"/>
  <c r="AO28" i="3"/>
  <c r="AI29" i="3"/>
  <c r="AJ29" i="3"/>
  <c r="AK29" i="3"/>
  <c r="AL29" i="3"/>
  <c r="AM29" i="3"/>
  <c r="AN29" i="3"/>
  <c r="AO29" i="3"/>
  <c r="AI30" i="3"/>
  <c r="AJ30" i="3"/>
  <c r="AK30" i="3"/>
  <c r="AL30" i="3"/>
  <c r="AM30" i="3"/>
  <c r="AN30" i="3"/>
  <c r="AO30" i="3"/>
  <c r="AI31" i="3"/>
  <c r="AJ31" i="3"/>
  <c r="AK31" i="3"/>
  <c r="AL31" i="3"/>
  <c r="AM31" i="3"/>
  <c r="AN31" i="3"/>
  <c r="AO31" i="3"/>
  <c r="AI32" i="3"/>
  <c r="AJ32" i="3"/>
  <c r="AK32" i="3"/>
  <c r="AL32" i="3"/>
  <c r="AM32" i="3"/>
  <c r="AN32" i="3"/>
  <c r="AO32" i="3"/>
  <c r="AI33" i="3"/>
  <c r="AJ33" i="3"/>
  <c r="AK33" i="3"/>
  <c r="AL33" i="3"/>
  <c r="AM33" i="3"/>
  <c r="AN33" i="3"/>
  <c r="AO33" i="3"/>
  <c r="AI34" i="3"/>
  <c r="AJ34" i="3"/>
  <c r="AK34" i="3"/>
  <c r="AL34" i="3"/>
  <c r="AM34" i="3"/>
  <c r="AN34" i="3"/>
  <c r="AO34" i="3"/>
  <c r="AI35" i="3"/>
  <c r="AJ35" i="3"/>
  <c r="AK35" i="3"/>
  <c r="AL35" i="3"/>
  <c r="AM35" i="3"/>
  <c r="AN35" i="3"/>
  <c r="AO35" i="3"/>
  <c r="AI36" i="3"/>
  <c r="AJ36" i="3"/>
  <c r="AK36" i="3"/>
  <c r="AL36" i="3"/>
  <c r="AM36" i="3"/>
  <c r="AN36" i="3"/>
  <c r="AO36" i="3"/>
  <c r="AI37" i="3"/>
  <c r="AJ37" i="3"/>
  <c r="AK37" i="3"/>
  <c r="AL37" i="3"/>
  <c r="AM37" i="3"/>
  <c r="AN37" i="3"/>
  <c r="AO37" i="3"/>
  <c r="AI38" i="3"/>
  <c r="AJ38" i="3"/>
  <c r="AK38" i="3"/>
  <c r="AL38" i="3"/>
  <c r="AM38" i="3"/>
  <c r="AN38" i="3"/>
  <c r="AO38" i="3"/>
  <c r="AH26" i="3"/>
  <c r="AH27" i="3"/>
  <c r="AH28" i="3"/>
  <c r="AH29" i="3"/>
  <c r="AH30" i="3"/>
  <c r="AH31" i="3"/>
  <c r="AH32" i="3"/>
  <c r="AH33" i="3"/>
  <c r="AH34" i="3"/>
  <c r="AH35" i="3"/>
  <c r="AH36" i="3"/>
  <c r="AH37" i="3"/>
  <c r="AH38" i="3"/>
  <c r="AH25" i="3"/>
  <c r="Q102" i="3"/>
  <c r="P102" i="3"/>
  <c r="O102" i="3"/>
  <c r="N102" i="3"/>
  <c r="N101" i="3"/>
  <c r="O101" i="3"/>
  <c r="P101" i="3"/>
  <c r="Q101" i="3"/>
  <c r="AD65" i="3"/>
  <c r="AD66" i="3"/>
  <c r="AD67" i="3"/>
  <c r="AD68" i="3"/>
  <c r="AD69" i="3"/>
  <c r="AD70" i="3"/>
  <c r="AD71" i="3"/>
  <c r="AD72" i="3"/>
  <c r="AD73" i="3"/>
  <c r="AD74" i="3"/>
  <c r="AD75" i="3"/>
  <c r="AD76" i="3"/>
  <c r="AD77" i="3"/>
  <c r="AD64" i="3"/>
  <c r="AD45" i="3"/>
  <c r="AD46" i="3"/>
  <c r="AD47" i="3"/>
  <c r="AD48" i="3"/>
  <c r="AD49" i="3"/>
  <c r="AD50" i="3"/>
  <c r="AD51" i="3"/>
  <c r="AD52" i="3"/>
  <c r="AD53" i="3"/>
  <c r="AD54" i="3"/>
  <c r="AD55" i="3"/>
  <c r="AD56" i="3"/>
  <c r="AD57" i="3"/>
  <c r="AD44" i="3"/>
  <c r="AD25" i="3"/>
  <c r="AD26" i="3"/>
  <c r="AD27" i="3"/>
  <c r="AD28" i="3"/>
  <c r="AD29" i="3"/>
  <c r="AD30" i="3"/>
  <c r="AD31" i="3"/>
  <c r="AD32" i="3"/>
  <c r="AD33" i="3"/>
  <c r="AD34" i="3"/>
  <c r="AD35" i="3"/>
  <c r="AD36" i="3"/>
  <c r="AD37" i="3"/>
  <c r="AD24" i="3"/>
  <c r="AD5" i="3"/>
  <c r="AD6" i="3"/>
  <c r="AD7" i="3"/>
  <c r="AD8" i="3"/>
  <c r="AD9" i="3"/>
  <c r="AD10" i="3"/>
  <c r="AD11" i="3"/>
  <c r="AD12" i="3"/>
  <c r="AD13" i="3"/>
  <c r="AD14" i="3"/>
  <c r="AD15" i="3"/>
  <c r="AD16" i="3"/>
  <c r="AD4" i="3"/>
  <c r="AB77" i="3"/>
  <c r="AA77" i="3"/>
  <c r="Z77" i="3"/>
  <c r="Y77" i="3"/>
  <c r="X77" i="3"/>
  <c r="W77" i="3"/>
  <c r="AB76" i="3"/>
  <c r="AA76" i="3"/>
  <c r="Z76" i="3"/>
  <c r="Y76" i="3"/>
  <c r="X76" i="3"/>
  <c r="W76" i="3"/>
  <c r="AB75" i="3"/>
  <c r="AA75" i="3"/>
  <c r="Z75" i="3"/>
  <c r="Y75" i="3"/>
  <c r="X75" i="3"/>
  <c r="W75" i="3"/>
  <c r="AB74" i="3"/>
  <c r="AA74" i="3"/>
  <c r="Z74" i="3"/>
  <c r="Y74" i="3"/>
  <c r="X74" i="3"/>
  <c r="W74" i="3"/>
  <c r="AB73" i="3"/>
  <c r="AA73" i="3"/>
  <c r="Z73" i="3"/>
  <c r="Y73" i="3"/>
  <c r="X73" i="3"/>
  <c r="W73" i="3"/>
  <c r="AB72" i="3"/>
  <c r="AA72" i="3"/>
  <c r="Z72" i="3"/>
  <c r="Y72" i="3"/>
  <c r="X72" i="3"/>
  <c r="W72" i="3"/>
  <c r="AC72" i="3" s="1"/>
  <c r="AB71" i="3"/>
  <c r="AA71" i="3"/>
  <c r="Z71" i="3"/>
  <c r="Y71" i="3"/>
  <c r="X71" i="3"/>
  <c r="W71" i="3"/>
  <c r="AB70" i="3"/>
  <c r="AA70" i="3"/>
  <c r="Z70" i="3"/>
  <c r="Y70" i="3"/>
  <c r="X70" i="3"/>
  <c r="W70" i="3"/>
  <c r="AB69" i="3"/>
  <c r="AA69" i="3"/>
  <c r="Z69" i="3"/>
  <c r="Y69" i="3"/>
  <c r="AC69" i="3" s="1"/>
  <c r="X69" i="3"/>
  <c r="W69" i="3"/>
  <c r="AB68" i="3"/>
  <c r="AA68" i="3"/>
  <c r="Z68" i="3"/>
  <c r="Y68" i="3"/>
  <c r="X68" i="3"/>
  <c r="W68" i="3"/>
  <c r="AC68" i="3" s="1"/>
  <c r="AB67" i="3"/>
  <c r="AA67" i="3"/>
  <c r="Z67" i="3"/>
  <c r="Y67" i="3"/>
  <c r="X67" i="3"/>
  <c r="W67" i="3"/>
  <c r="AB66" i="3"/>
  <c r="AA66" i="3"/>
  <c r="Z66" i="3"/>
  <c r="Y66" i="3"/>
  <c r="X66" i="3"/>
  <c r="W66" i="3"/>
  <c r="AB65" i="3"/>
  <c r="AA65" i="3"/>
  <c r="Z65" i="3"/>
  <c r="Y65" i="3"/>
  <c r="X65" i="3"/>
  <c r="W65" i="3"/>
  <c r="AC65" i="3" s="1"/>
  <c r="AB64" i="3"/>
  <c r="AA64" i="3"/>
  <c r="Z64" i="3"/>
  <c r="Y64" i="3"/>
  <c r="X64" i="3"/>
  <c r="W64" i="3"/>
  <c r="AB57" i="3"/>
  <c r="AA57" i="3"/>
  <c r="Z57" i="3"/>
  <c r="Y57" i="3"/>
  <c r="X57" i="3"/>
  <c r="W57" i="3"/>
  <c r="AB56" i="3"/>
  <c r="AA56" i="3"/>
  <c r="Z56" i="3"/>
  <c r="Y56" i="3"/>
  <c r="X56" i="3"/>
  <c r="W56" i="3"/>
  <c r="AB55" i="3"/>
  <c r="AA55" i="3"/>
  <c r="Z55" i="3"/>
  <c r="Y55" i="3"/>
  <c r="X55" i="3"/>
  <c r="W55" i="3"/>
  <c r="AB54" i="3"/>
  <c r="AA54" i="3"/>
  <c r="Z54" i="3"/>
  <c r="Y54" i="3"/>
  <c r="X54" i="3"/>
  <c r="W54" i="3"/>
  <c r="AB53" i="3"/>
  <c r="AA53" i="3"/>
  <c r="Z53" i="3"/>
  <c r="Y53" i="3"/>
  <c r="X53" i="3"/>
  <c r="W53" i="3"/>
  <c r="AB52" i="3"/>
  <c r="AA52" i="3"/>
  <c r="Z52" i="3"/>
  <c r="Y52" i="3"/>
  <c r="X52" i="3"/>
  <c r="W52" i="3"/>
  <c r="AB51" i="3"/>
  <c r="AA51" i="3"/>
  <c r="Z51" i="3"/>
  <c r="Y51" i="3"/>
  <c r="X51" i="3"/>
  <c r="W51" i="3"/>
  <c r="AC51" i="3" s="1"/>
  <c r="AB50" i="3"/>
  <c r="AA50" i="3"/>
  <c r="Z50" i="3"/>
  <c r="Y50" i="3"/>
  <c r="X50" i="3"/>
  <c r="W50" i="3"/>
  <c r="AB49" i="3"/>
  <c r="AA49" i="3"/>
  <c r="Z49" i="3"/>
  <c r="Y49" i="3"/>
  <c r="X49" i="3"/>
  <c r="W49" i="3"/>
  <c r="AB48" i="3"/>
  <c r="AA48" i="3"/>
  <c r="Z48" i="3"/>
  <c r="Y48" i="3"/>
  <c r="X48" i="3"/>
  <c r="W48" i="3"/>
  <c r="AB47" i="3"/>
  <c r="AA47" i="3"/>
  <c r="Z47" i="3"/>
  <c r="Y47" i="3"/>
  <c r="X47" i="3"/>
  <c r="W47" i="3"/>
  <c r="AB46" i="3"/>
  <c r="AA46" i="3"/>
  <c r="Z46" i="3"/>
  <c r="Y46" i="3"/>
  <c r="X46" i="3"/>
  <c r="W46" i="3"/>
  <c r="AB45" i="3"/>
  <c r="AA45" i="3"/>
  <c r="Z45" i="3"/>
  <c r="Y45" i="3"/>
  <c r="X45" i="3"/>
  <c r="W45" i="3"/>
  <c r="AB44" i="3"/>
  <c r="AA44" i="3"/>
  <c r="Z44" i="3"/>
  <c r="Y44" i="3"/>
  <c r="X44" i="3"/>
  <c r="W44" i="3"/>
  <c r="AB37" i="3"/>
  <c r="AA37" i="3"/>
  <c r="Z37" i="3"/>
  <c r="Y37" i="3"/>
  <c r="X37" i="3"/>
  <c r="W37" i="3"/>
  <c r="AC37" i="3" s="1"/>
  <c r="AB36" i="3"/>
  <c r="AA36" i="3"/>
  <c r="Z36" i="3"/>
  <c r="Y36" i="3"/>
  <c r="X36" i="3"/>
  <c r="W36" i="3"/>
  <c r="AB35" i="3"/>
  <c r="AA35" i="3"/>
  <c r="Z35" i="3"/>
  <c r="Y35" i="3"/>
  <c r="X35" i="3"/>
  <c r="W35" i="3"/>
  <c r="AB34" i="3"/>
  <c r="AA34" i="3"/>
  <c r="Z34" i="3"/>
  <c r="Y34" i="3"/>
  <c r="X34" i="3"/>
  <c r="W34" i="3"/>
  <c r="AB33" i="3"/>
  <c r="AA33" i="3"/>
  <c r="Z33" i="3"/>
  <c r="Y33" i="3"/>
  <c r="AC33" i="3" s="1"/>
  <c r="X33" i="3"/>
  <c r="W33" i="3"/>
  <c r="AB32" i="3"/>
  <c r="AA32" i="3"/>
  <c r="Z32" i="3"/>
  <c r="Y32" i="3"/>
  <c r="X32" i="3"/>
  <c r="AC32" i="3" s="1"/>
  <c r="W32" i="3"/>
  <c r="AB31" i="3"/>
  <c r="AA31" i="3"/>
  <c r="Z31" i="3"/>
  <c r="Y31" i="3"/>
  <c r="X31" i="3"/>
  <c r="W31" i="3"/>
  <c r="AB30" i="3"/>
  <c r="AA30" i="3"/>
  <c r="Z30" i="3"/>
  <c r="Y30" i="3"/>
  <c r="X30" i="3"/>
  <c r="W30" i="3"/>
  <c r="AB29" i="3"/>
  <c r="AA29" i="3"/>
  <c r="Z29" i="3"/>
  <c r="Y29" i="3"/>
  <c r="X29" i="3"/>
  <c r="W29" i="3"/>
  <c r="AC29" i="3" s="1"/>
  <c r="AB28" i="3"/>
  <c r="AA28" i="3"/>
  <c r="Z28" i="3"/>
  <c r="Y28" i="3"/>
  <c r="X28" i="3"/>
  <c r="W28" i="3"/>
  <c r="AB27" i="3"/>
  <c r="AA27" i="3"/>
  <c r="Z27" i="3"/>
  <c r="Y27" i="3"/>
  <c r="X27" i="3"/>
  <c r="W27" i="3"/>
  <c r="AB26" i="3"/>
  <c r="AA26" i="3"/>
  <c r="Z26" i="3"/>
  <c r="Y26" i="3"/>
  <c r="X26" i="3"/>
  <c r="W26" i="3"/>
  <c r="AB25" i="3"/>
  <c r="AA25" i="3"/>
  <c r="Z25" i="3"/>
  <c r="Y25" i="3"/>
  <c r="X25" i="3"/>
  <c r="W25" i="3"/>
  <c r="AB24" i="3"/>
  <c r="AA24" i="3"/>
  <c r="Z24" i="3"/>
  <c r="Y24" i="3"/>
  <c r="X24" i="3"/>
  <c r="W24" i="3"/>
  <c r="W5" i="3"/>
  <c r="X5" i="3"/>
  <c r="Y5" i="3"/>
  <c r="Z5" i="3"/>
  <c r="AA5" i="3"/>
  <c r="AB5" i="3"/>
  <c r="W6" i="3"/>
  <c r="X6" i="3"/>
  <c r="Y6" i="3"/>
  <c r="Z6" i="3"/>
  <c r="AA6" i="3"/>
  <c r="AB6" i="3"/>
  <c r="W7" i="3"/>
  <c r="AC7" i="3" s="1"/>
  <c r="X7" i="3"/>
  <c r="Y7" i="3"/>
  <c r="Z7" i="3"/>
  <c r="AA7" i="3"/>
  <c r="AB7" i="3"/>
  <c r="W8" i="3"/>
  <c r="X8" i="3"/>
  <c r="Y8" i="3"/>
  <c r="Z8" i="3"/>
  <c r="AA8" i="3"/>
  <c r="AB8" i="3"/>
  <c r="W9" i="3"/>
  <c r="X9" i="3"/>
  <c r="Y9" i="3"/>
  <c r="Z9" i="3"/>
  <c r="AA9" i="3"/>
  <c r="AB9" i="3"/>
  <c r="W10" i="3"/>
  <c r="X10" i="3"/>
  <c r="Y10" i="3"/>
  <c r="Z10" i="3"/>
  <c r="AC10" i="3" s="1"/>
  <c r="AA10" i="3"/>
  <c r="AB10" i="3"/>
  <c r="W11" i="3"/>
  <c r="X11" i="3"/>
  <c r="Y11" i="3"/>
  <c r="Z11" i="3"/>
  <c r="AA11" i="3"/>
  <c r="AB11" i="3"/>
  <c r="W12" i="3"/>
  <c r="X12" i="3"/>
  <c r="Y12" i="3"/>
  <c r="Z12" i="3"/>
  <c r="AA12" i="3"/>
  <c r="AB12" i="3"/>
  <c r="W13" i="3"/>
  <c r="X13" i="3"/>
  <c r="Y13" i="3"/>
  <c r="Z13" i="3"/>
  <c r="AA13" i="3"/>
  <c r="AB13" i="3"/>
  <c r="W14" i="3"/>
  <c r="AC14" i="3" s="1"/>
  <c r="X14" i="3"/>
  <c r="Y14" i="3"/>
  <c r="Z14" i="3"/>
  <c r="AA14" i="3"/>
  <c r="AB14" i="3"/>
  <c r="W15" i="3"/>
  <c r="AC15" i="3" s="1"/>
  <c r="X15" i="3"/>
  <c r="Y15" i="3"/>
  <c r="Z15" i="3"/>
  <c r="AA15" i="3"/>
  <c r="AB15" i="3"/>
  <c r="W16" i="3"/>
  <c r="X16" i="3"/>
  <c r="Y16" i="3"/>
  <c r="Z16" i="3"/>
  <c r="AA16" i="3"/>
  <c r="AB16" i="3"/>
  <c r="W17" i="3"/>
  <c r="X17" i="3"/>
  <c r="Y17" i="3"/>
  <c r="Z17" i="3"/>
  <c r="AA17" i="3"/>
  <c r="AB17" i="3"/>
  <c r="Y4" i="3"/>
  <c r="Z4" i="3"/>
  <c r="AA4" i="3"/>
  <c r="AB4" i="3"/>
  <c r="X4" i="3"/>
  <c r="W4" i="3"/>
  <c r="AC4" i="3" s="1"/>
  <c r="M4" i="4" l="1"/>
  <c r="M17" i="4"/>
  <c r="M16" i="4"/>
  <c r="M15" i="4"/>
  <c r="M14" i="4"/>
  <c r="M13" i="4"/>
  <c r="M12" i="4"/>
  <c r="M11" i="4"/>
  <c r="M10" i="4"/>
  <c r="M9" i="4"/>
  <c r="M7" i="4"/>
  <c r="M6" i="4"/>
  <c r="AY64" i="3"/>
  <c r="AY70" i="3"/>
  <c r="AY69" i="3"/>
  <c r="AY68" i="3"/>
  <c r="AY67" i="3"/>
  <c r="AY66" i="3"/>
  <c r="AY61" i="3"/>
  <c r="AY65" i="3"/>
  <c r="AY62" i="3"/>
  <c r="AZ74" i="3"/>
  <c r="AY73" i="3"/>
  <c r="AY72" i="3"/>
  <c r="AY71" i="3"/>
  <c r="AC30" i="3"/>
  <c r="AC44" i="3"/>
  <c r="AC52" i="3"/>
  <c r="AC66" i="3"/>
  <c r="AC12" i="3"/>
  <c r="AC74" i="3"/>
  <c r="AC47" i="3"/>
  <c r="AC55" i="3"/>
  <c r="AC9" i="3"/>
  <c r="AC25" i="3"/>
  <c r="AC77" i="3"/>
  <c r="AC36" i="3"/>
  <c r="AC64" i="3"/>
  <c r="AC6" i="3"/>
  <c r="AC11" i="3"/>
  <c r="AC53" i="3"/>
  <c r="AC26" i="3"/>
  <c r="AC34" i="3"/>
  <c r="AC70" i="3"/>
  <c r="AC16" i="3"/>
  <c r="AC8" i="3"/>
  <c r="AC28" i="3"/>
  <c r="AC31" i="3"/>
  <c r="AC45" i="3"/>
  <c r="AC48" i="3"/>
  <c r="AC50" i="3"/>
  <c r="AC56" i="3"/>
  <c r="AC67" i="3"/>
  <c r="AC75" i="3"/>
  <c r="AC73" i="3"/>
  <c r="AC5" i="3"/>
  <c r="AC24" i="3"/>
  <c r="AC54" i="3"/>
  <c r="AC76" i="3"/>
  <c r="AC13" i="3"/>
  <c r="AC27" i="3"/>
  <c r="AC35" i="3"/>
  <c r="AC46" i="3"/>
  <c r="AC49" i="3"/>
  <c r="AC57" i="3"/>
  <c r="AC71" i="3"/>
  <c r="C58" i="3"/>
  <c r="I58" i="3"/>
  <c r="H58" i="3"/>
  <c r="G58" i="3"/>
  <c r="C20" i="3"/>
  <c r="E20" i="3"/>
  <c r="F20" i="3"/>
  <c r="G20" i="3"/>
  <c r="H20" i="3"/>
  <c r="I20" i="3"/>
  <c r="J20" i="3"/>
  <c r="D20" i="3"/>
  <c r="C17" i="3"/>
  <c r="C25" i="3" s="1"/>
  <c r="D17" i="3"/>
  <c r="D24" i="3" s="1"/>
  <c r="E17" i="3"/>
  <c r="E24" i="3" s="1"/>
  <c r="F17" i="3"/>
  <c r="F24" i="3" s="1"/>
  <c r="G17" i="3"/>
  <c r="G25" i="3" s="1"/>
  <c r="J17" i="3"/>
  <c r="J24" i="3" s="1"/>
  <c r="I17" i="3"/>
  <c r="I25" i="3" s="1"/>
  <c r="H17" i="3"/>
  <c r="H25" i="3" s="1"/>
  <c r="F58" i="3"/>
  <c r="E58" i="3"/>
  <c r="D58" i="3"/>
  <c r="J58" i="3"/>
  <c r="F3" i="1"/>
  <c r="E18" i="1"/>
  <c r="J36" i="3" l="1"/>
  <c r="J27" i="3"/>
  <c r="H28" i="3"/>
  <c r="J32" i="3"/>
  <c r="H32" i="3"/>
  <c r="J31" i="3"/>
  <c r="H36" i="3"/>
  <c r="I80" i="3"/>
  <c r="J28" i="3"/>
  <c r="J35" i="3"/>
  <c r="H35" i="3"/>
  <c r="H27" i="3"/>
  <c r="C24" i="3"/>
  <c r="J34" i="3"/>
  <c r="J30" i="3"/>
  <c r="J26" i="3"/>
  <c r="H24" i="3"/>
  <c r="H34" i="3"/>
  <c r="H30" i="3"/>
  <c r="H26" i="3"/>
  <c r="H31" i="3"/>
  <c r="J37" i="3"/>
  <c r="J33" i="3"/>
  <c r="J29" i="3"/>
  <c r="J25" i="3"/>
  <c r="H37" i="3"/>
  <c r="H33" i="3"/>
  <c r="H29" i="3"/>
  <c r="I36" i="3"/>
  <c r="I34" i="3"/>
  <c r="I24" i="3"/>
  <c r="G37" i="3"/>
  <c r="G34" i="3"/>
  <c r="G32" i="3"/>
  <c r="G29" i="3"/>
  <c r="G26" i="3"/>
  <c r="G24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I37" i="3"/>
  <c r="G36" i="3"/>
  <c r="G35" i="3"/>
  <c r="G33" i="3"/>
  <c r="G31" i="3"/>
  <c r="G30" i="3"/>
  <c r="G28" i="3"/>
  <c r="G27" i="3"/>
  <c r="C37" i="3"/>
  <c r="C36" i="3"/>
  <c r="C35" i="3"/>
  <c r="C34" i="3"/>
  <c r="C33" i="3"/>
  <c r="C32" i="3"/>
  <c r="C31" i="3"/>
  <c r="C30" i="3"/>
  <c r="C29" i="3"/>
  <c r="C28" i="3"/>
  <c r="C27" i="3"/>
  <c r="C26" i="3"/>
  <c r="I35" i="3"/>
  <c r="I33" i="3"/>
  <c r="I32" i="3"/>
  <c r="I31" i="3"/>
  <c r="I30" i="3"/>
  <c r="I29" i="3"/>
  <c r="I28" i="3"/>
  <c r="I27" i="3"/>
  <c r="I26" i="3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46" i="1"/>
  <c r="H18" i="1"/>
  <c r="H19" i="1" s="1"/>
  <c r="F8" i="1"/>
  <c r="I8" i="1" s="1"/>
  <c r="J8" i="1" s="1"/>
  <c r="J13" i="1"/>
  <c r="J16" i="1"/>
  <c r="O17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3" i="1"/>
  <c r="F7" i="1" l="1"/>
  <c r="I7" i="1" s="1"/>
  <c r="J7" i="1" s="1"/>
  <c r="F10" i="1"/>
  <c r="I10" i="1" s="1"/>
  <c r="J10" i="1" s="1"/>
  <c r="I3" i="1"/>
  <c r="F15" i="1"/>
  <c r="I15" i="1" s="1"/>
  <c r="J15" i="1" s="1"/>
  <c r="F6" i="1"/>
  <c r="I6" i="1" s="1"/>
  <c r="J6" i="1" s="1"/>
  <c r="F12" i="1"/>
  <c r="I12" i="1" s="1"/>
  <c r="J12" i="1" s="1"/>
  <c r="F4" i="1"/>
  <c r="I4" i="1" s="1"/>
  <c r="J4" i="1" s="1"/>
  <c r="F9" i="1"/>
  <c r="I9" i="1" s="1"/>
  <c r="J9" i="1" s="1"/>
  <c r="F16" i="1"/>
  <c r="F14" i="1"/>
  <c r="I14" i="1" s="1"/>
  <c r="J14" i="1" s="1"/>
  <c r="F13" i="1"/>
  <c r="I17" i="1" s="1"/>
  <c r="J17" i="1" s="1"/>
  <c r="F5" i="1"/>
  <c r="I5" i="1" s="1"/>
  <c r="J5" i="1" s="1"/>
  <c r="F11" i="1"/>
  <c r="I11" i="1" s="1"/>
  <c r="J11" i="1" s="1"/>
  <c r="J3" i="1" l="1"/>
  <c r="I18" i="1"/>
  <c r="J18" i="1" s="1"/>
  <c r="F18" i="1"/>
  <c r="J19" i="1"/>
</calcChain>
</file>

<file path=xl/sharedStrings.xml><?xml version="1.0" encoding="utf-8"?>
<sst xmlns="http://schemas.openxmlformats.org/spreadsheetml/2006/main" count="548" uniqueCount="113">
  <si>
    <t>Uzbekistan Population by Region (2024–2025)</t>
  </si>
  <si>
    <t>Region</t>
  </si>
  <si>
    <t>Population_Apr2024</t>
  </si>
  <si>
    <t>Republic of Karakalpakstan</t>
  </si>
  <si>
    <t>Andijan region</t>
  </si>
  <si>
    <t>Bukhara region</t>
  </si>
  <si>
    <t>Jizzakh region</t>
  </si>
  <si>
    <t>Kashkadarya region</t>
  </si>
  <si>
    <t>Navoi region</t>
  </si>
  <si>
    <t>Namangan region</t>
  </si>
  <si>
    <t>Samarkand region</t>
  </si>
  <si>
    <t>Surkhandarya region</t>
  </si>
  <si>
    <t>Syrdarya region</t>
  </si>
  <si>
    <t>Tashkent region</t>
  </si>
  <si>
    <t>Fergana region</t>
  </si>
  <si>
    <t>Khorezm region</t>
  </si>
  <si>
    <t>Tashkent city</t>
  </si>
  <si>
    <t>Data Sources</t>
  </si>
  <si>
    <t>State Committee of the Republic of Uzbekistan on Statistics</t>
  </si>
  <si>
    <t>Population as of April 1, 2024</t>
  </si>
  <si>
    <t>https://stat.uz/en/press-center/news-of-committee/52880-hududlar-kesi-mida-doi-miy-aholi-soni-4</t>
  </si>
  <si>
    <t>Population as of July 1, 2025</t>
  </si>
  <si>
    <t>https://stat.uz/en/press-center/news-of-committee/63476-ajsi-udud-a-olisi-soni-eng-tez-smo-da-4</t>
  </si>
  <si>
    <t>GRP</t>
  </si>
  <si>
    <t>per capita</t>
  </si>
  <si>
    <t>usd</t>
  </si>
  <si>
    <t>GDP total mln usd</t>
  </si>
  <si>
    <t>City pop</t>
  </si>
  <si>
    <t>Nukus</t>
  </si>
  <si>
    <t>Andijan</t>
  </si>
  <si>
    <t>Bukhara</t>
  </si>
  <si>
    <t>Jizzakh</t>
  </si>
  <si>
    <t>Qarshi</t>
  </si>
  <si>
    <t>Navoi</t>
  </si>
  <si>
    <t>Namangan</t>
  </si>
  <si>
    <t>Samarkand</t>
  </si>
  <si>
    <t>Termiz</t>
  </si>
  <si>
    <t>Gulistan</t>
  </si>
  <si>
    <t xml:space="preserve">Fergana </t>
  </si>
  <si>
    <t>Nurafshon</t>
  </si>
  <si>
    <t>Urgench</t>
  </si>
  <si>
    <t>Tashkent</t>
  </si>
  <si>
    <t>Urban ppulation</t>
  </si>
  <si>
    <t>City</t>
  </si>
  <si>
    <t>Ag/For/Fish</t>
  </si>
  <si>
    <t>Industry</t>
  </si>
  <si>
    <t>Construction</t>
  </si>
  <si>
    <t>Service</t>
  </si>
  <si>
    <t>Total</t>
  </si>
  <si>
    <t>Total (%)</t>
  </si>
  <si>
    <t>Region GDP estimate</t>
  </si>
  <si>
    <t>gdp per cap</t>
  </si>
  <si>
    <t>City GDP</t>
  </si>
  <si>
    <t>Agriculture coeff</t>
  </si>
  <si>
    <t>Industry coeff</t>
  </si>
  <si>
    <t>Construction coeff</t>
  </si>
  <si>
    <t>Services coeff</t>
  </si>
  <si>
    <t>~</t>
  </si>
  <si>
    <t>14 cities capture about 19% of Urban population of the country</t>
  </si>
  <si>
    <t xml:space="preserve">City </t>
  </si>
  <si>
    <t xml:space="preserve"> City Population (thousands) </t>
  </si>
  <si>
    <t xml:space="preserve"> Region Population (thousands) </t>
  </si>
  <si>
    <t xml:space="preserve"> Regional GDP (mln USD) </t>
  </si>
  <si>
    <t xml:space="preserve"> City GDP (mln USD) </t>
  </si>
  <si>
    <t xml:space="preserve"> City GDP per Capita (USD) </t>
  </si>
  <si>
    <t xml:space="preserve"> Agriculture (%) </t>
  </si>
  <si>
    <t xml:space="preserve"> Industry (%) </t>
  </si>
  <si>
    <t xml:space="preserve"> Construction (%) </t>
  </si>
  <si>
    <t xml:space="preserve"> Services (%)</t>
  </si>
  <si>
    <t xml:space="preserve"> Regional GDP per Capita</t>
  </si>
  <si>
    <t>18.7% 32%</t>
  </si>
  <si>
    <t>Total+unallocated</t>
  </si>
  <si>
    <t>GDP/Year</t>
  </si>
  <si>
    <t>Jan-Dec</t>
  </si>
  <si>
    <t>17.9 Tashkent excluded</t>
  </si>
  <si>
    <t>19,5 Tashkent included</t>
  </si>
  <si>
    <t>USD/UZS Exch</t>
  </si>
  <si>
    <t>GDP (Bil USD)</t>
  </si>
  <si>
    <t>GDP per Capita*</t>
  </si>
  <si>
    <t xml:space="preserve">City population </t>
  </si>
  <si>
    <t>Regions population</t>
  </si>
  <si>
    <t>GDP Volume (bil sum)</t>
  </si>
  <si>
    <t>Agriculture</t>
  </si>
  <si>
    <t>Services</t>
  </si>
  <si>
    <t>https://stat.uz/en/quarterly-reports/5870-2018#january-september</t>
  </si>
  <si>
    <t>Sectoral distribution of GDP</t>
  </si>
  <si>
    <t>*Adjusted based on reported total GDP</t>
  </si>
  <si>
    <t>22-24</t>
  </si>
  <si>
    <t>21-23</t>
  </si>
  <si>
    <t>20-22</t>
  </si>
  <si>
    <t>19-21</t>
  </si>
  <si>
    <t>18-20</t>
  </si>
  <si>
    <t>17-19</t>
  </si>
  <si>
    <t>Тренд (3г)</t>
  </si>
  <si>
    <t>Salary</t>
  </si>
  <si>
    <t>UZS</t>
  </si>
  <si>
    <t>USD</t>
  </si>
  <si>
    <t>City salary</t>
  </si>
  <si>
    <t>City salary uzs</t>
  </si>
  <si>
    <t>City salary usd</t>
  </si>
  <si>
    <t>Fergana</t>
  </si>
  <si>
    <t>Three year national average ratio of City Wage vs Rural Wage</t>
  </si>
  <si>
    <t>Compare to national average</t>
  </si>
  <si>
    <t>Fergana, Termiz, Nurafshon expirienced increasing concentration of a labor in cities, while wages in Bukhara, Navoi, Namangan and Gulistan show below average labor concentration in cities.</t>
  </si>
  <si>
    <t>Ratio</t>
  </si>
  <si>
    <t>Ratio (8y salary/national average 2024)</t>
  </si>
  <si>
    <t>Ratio (8y proportion of city/rural wages over national average 2024)</t>
  </si>
  <si>
    <t>Ratio 2024/8y</t>
  </si>
  <si>
    <t>Ratio of a city population over 8y average</t>
  </si>
  <si>
    <t>National average of a ratio</t>
  </si>
  <si>
    <t>Ratio of a ratio vs national average of a ratio</t>
  </si>
  <si>
    <t>+</t>
  </si>
  <si>
    <t>Salary Region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</si>
</sst>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15">
    <font>
      <sz val="11"/>
      <color theme="1"/>
      <name val="Calibri"/>
      <family val="2"/>
      <scheme val="minor"/>
    </font>
    <font>
      <b/>
      <sz val="14"/>
      <name val="Calibri"/>
      <family val="2"/>
    </font>
    <font>
      <u/>
      <sz val="11"/>
      <color theme="10"/>
      <name val="Calibri"/>
      <family val="2"/>
      <scheme val="minor"/>
    </font>
    <font>
      <sz val="12"/>
      <color rgb="FFCCCCCC"/>
      <name val="Menlo"/>
      <family val="2"/>
    </font>
    <font>
      <sz val="12"/>
      <color rgb="FF4FC1FF"/>
      <name val="Menlo"/>
      <family val="2"/>
    </font>
    <font>
      <sz val="12"/>
      <color rgb="FFCE9178"/>
      <name val="Menlo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theme="1"/>
      <name val="Times New Roman"/>
      <family val="1"/>
      <charset val="204"/>
    </font>
    <font>
      <b/>
      <sz val="11"/>
      <name val="Times New Roman"/>
      <family val="1"/>
      <charset val="204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mbria"/>
      <family val="1"/>
      <charset val="204"/>
    </font>
    <font>
      <i/>
      <sz val="12"/>
      <color theme="1"/>
      <name val="Cambria"/>
      <family val="1"/>
      <charset val="204"/>
    </font>
    <font>
      <sz val="11"/>
      <color rgb="FF000000"/>
      <name val="Cambria"/>
      <family val="1"/>
      <charset val="204"/>
    </font>
  </fonts>
  <fills count="7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39997558519241921"/>
        <bgColor indexed="64"/>
      </patternFill>
    </fill>
  </fills>
  <borders count="5">
    <border>
      <left/>
      <right/>
      <top/>
      <bottom/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/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 style="medium">
        <color rgb="FFBFBFBF"/>
      </left>
      <right style="medium">
        <color rgb="FFBFBFBF"/>
      </right>
      <top/>
      <bottom style="medium">
        <color rgb="FFBFBFBF"/>
      </bottom>
      <diagonal/>
    </border>
    <border>
      <left/>
      <right style="medium">
        <color rgb="FFBFBFBF"/>
      </right>
      <top/>
      <bottom style="medium">
        <color rgb="FFBFBFBF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5">
    <xf numFmtId="0" fontId="0" fillId="0" borderId="0" xfId="0"/>
    <xf numFmtId="0" fontId="1" fillId="0" borderId="0" xfId="0" applyFont="1"/>
    <xf numFmtId="0" fontId="2" fillId="0" borderId="0" xfId="1"/>
    <xf numFmtId="0" fontId="4" fillId="0" borderId="0" xfId="0" applyFont="1"/>
    <xf numFmtId="0" fontId="5" fillId="0" borderId="0" xfId="0" applyFont="1"/>
    <xf numFmtId="0" fontId="3" fillId="0" borderId="0" xfId="0" applyFont="1"/>
    <xf numFmtId="2" fontId="1" fillId="0" borderId="0" xfId="0" applyNumberFormat="1" applyFont="1"/>
    <xf numFmtId="2" fontId="0" fillId="0" borderId="0" xfId="0" applyNumberFormat="1"/>
    <xf numFmtId="2" fontId="0" fillId="2" borderId="0" xfId="0" applyNumberFormat="1" applyFill="1"/>
    <xf numFmtId="2" fontId="0" fillId="3" borderId="0" xfId="0" applyNumberFormat="1" applyFill="1"/>
    <xf numFmtId="2" fontId="6" fillId="0" borderId="0" xfId="0" applyNumberFormat="1" applyFont="1"/>
    <xf numFmtId="2" fontId="0" fillId="4" borderId="0" xfId="0" applyNumberFormat="1" applyFill="1"/>
    <xf numFmtId="2" fontId="0" fillId="5" borderId="0" xfId="0" applyNumberFormat="1" applyFill="1"/>
    <xf numFmtId="0" fontId="0" fillId="5" borderId="0" xfId="0" applyFill="1"/>
    <xf numFmtId="2" fontId="7" fillId="0" borderId="0" xfId="0" applyNumberFormat="1" applyFont="1"/>
    <xf numFmtId="164" fontId="0" fillId="0" borderId="0" xfId="0" applyNumberFormat="1"/>
    <xf numFmtId="2" fontId="0" fillId="6" borderId="0" xfId="0" applyNumberFormat="1" applyFill="1"/>
    <xf numFmtId="0" fontId="0" fillId="3" borderId="0" xfId="0" applyFill="1"/>
    <xf numFmtId="0" fontId="6" fillId="0" borderId="0" xfId="0" applyFont="1"/>
    <xf numFmtId="0" fontId="8" fillId="0" borderId="0" xfId="0" applyFont="1"/>
    <xf numFmtId="0" fontId="7" fillId="0" borderId="0" xfId="0" applyFont="1"/>
    <xf numFmtId="2" fontId="8" fillId="0" borderId="0" xfId="0" applyNumberFormat="1" applyFont="1"/>
    <xf numFmtId="0" fontId="11" fillId="0" borderId="0" xfId="0" applyFont="1"/>
    <xf numFmtId="2" fontId="11" fillId="0" borderId="0" xfId="0" applyNumberFormat="1" applyFont="1"/>
    <xf numFmtId="164" fontId="6" fillId="0" borderId="0" xfId="0" applyNumberFormat="1" applyFont="1"/>
    <xf numFmtId="164" fontId="7" fillId="0" borderId="0" xfId="0" applyNumberFormat="1" applyFont="1"/>
    <xf numFmtId="164" fontId="9" fillId="0" borderId="0" xfId="0" applyNumberFormat="1" applyFont="1" applyAlignment="1">
      <alignment horizontal="right" vertical="center"/>
    </xf>
    <xf numFmtId="164" fontId="10" fillId="0" borderId="0" xfId="0" applyNumberFormat="1" applyFont="1" applyAlignment="1">
      <alignment horizontal="right" vertical="center"/>
    </xf>
    <xf numFmtId="164" fontId="8" fillId="0" borderId="0" xfId="0" applyNumberFormat="1" applyFont="1"/>
    <xf numFmtId="164" fontId="11" fillId="0" borderId="0" xfId="0" applyNumberFormat="1" applyFont="1"/>
    <xf numFmtId="2" fontId="0" fillId="0" borderId="0" xfId="0" applyNumberFormat="1" applyFill="1"/>
    <xf numFmtId="0" fontId="12" fillId="0" borderId="1" xfId="0" applyFont="1" applyBorder="1" applyAlignment="1">
      <alignment horizontal="center" vertical="center" wrapText="1"/>
    </xf>
    <xf numFmtId="0" fontId="12" fillId="0" borderId="2" xfId="0" applyFont="1" applyBorder="1" applyAlignment="1">
      <alignment horizontal="right" vertical="center" wrapText="1"/>
    </xf>
    <xf numFmtId="0" fontId="13" fillId="0" borderId="3" xfId="0" applyFont="1" applyBorder="1" applyAlignment="1">
      <alignment horizontal="right" vertical="center" wrapText="1"/>
    </xf>
    <xf numFmtId="0" fontId="14" fillId="0" borderId="4" xfId="0" applyFont="1" applyBorder="1" applyAlignment="1">
      <alignment horizontal="right" vertical="center" wrapText="1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Population by Region (2024 vs 2025)</a:t>
            </a:r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'Population Data'!$B$1</c:f>
              <c:strCache>
                <c:ptCount val="1"/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'Population Data'!$A$2:$A$15</c:f>
              <c:strCache>
                <c:ptCount val="14"/>
                <c:pt idx="0">
                  <c:v>Region</c:v>
                </c:pt>
                <c:pt idx="1">
                  <c:v>Republic of Karakalpakstan</c:v>
                </c:pt>
                <c:pt idx="2">
                  <c:v>Andijan region</c:v>
                </c:pt>
                <c:pt idx="3">
                  <c:v>Bukhara region</c:v>
                </c:pt>
                <c:pt idx="4">
                  <c:v>Jizzakh region</c:v>
                </c:pt>
                <c:pt idx="5">
                  <c:v>Kashkadarya region</c:v>
                </c:pt>
                <c:pt idx="6">
                  <c:v>Navoi region</c:v>
                </c:pt>
                <c:pt idx="7">
                  <c:v>Namangan region</c:v>
                </c:pt>
                <c:pt idx="8">
                  <c:v>Samarkand region</c:v>
                </c:pt>
                <c:pt idx="9">
                  <c:v>Surkhandarya region</c:v>
                </c:pt>
                <c:pt idx="10">
                  <c:v>Syrdarya region</c:v>
                </c:pt>
                <c:pt idx="11">
                  <c:v>Tashkent region</c:v>
                </c:pt>
                <c:pt idx="12">
                  <c:v>Fergana region</c:v>
                </c:pt>
                <c:pt idx="13">
                  <c:v>Khorezm region</c:v>
                </c:pt>
              </c:strCache>
            </c:strRef>
          </c:cat>
          <c:val>
            <c:numRef>
              <c:f>'Population Data'!$B$2:$B$15</c:f>
              <c:numCache>
                <c:formatCode>0.00</c:formatCode>
                <c:ptCount val="14"/>
                <c:pt idx="0">
                  <c:v>0</c:v>
                </c:pt>
                <c:pt idx="1">
                  <c:v>2008.8</c:v>
                </c:pt>
                <c:pt idx="2">
                  <c:v>3409</c:v>
                </c:pt>
                <c:pt idx="3">
                  <c:v>2050.6</c:v>
                </c:pt>
                <c:pt idx="4">
                  <c:v>1514.5</c:v>
                </c:pt>
                <c:pt idx="5">
                  <c:v>3577</c:v>
                </c:pt>
                <c:pt idx="6">
                  <c:v>1079.9000000000001</c:v>
                </c:pt>
                <c:pt idx="7">
                  <c:v>3079.9</c:v>
                </c:pt>
                <c:pt idx="8">
                  <c:v>4227.3</c:v>
                </c:pt>
                <c:pt idx="9">
                  <c:v>2891.7</c:v>
                </c:pt>
                <c:pt idx="10">
                  <c:v>917.9</c:v>
                </c:pt>
                <c:pt idx="11">
                  <c:v>3066</c:v>
                </c:pt>
                <c:pt idx="12">
                  <c:v>4079.5</c:v>
                </c:pt>
                <c:pt idx="13">
                  <c:v>2002.8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205B-FD48-A365-738780096367}"/>
            </c:ext>
          </c:extLst>
        </c:ser>
        <c:ser>
          <c:idx val="1"/>
          <c:order val="1"/>
          <c:tx>
            <c:strRef>
              <c:f>'Population Data'!$C$1</c:f>
              <c:strCache>
                <c:ptCount val="1"/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'Population Data'!$A$2:$A$15</c:f>
              <c:strCache>
                <c:ptCount val="14"/>
                <c:pt idx="0">
                  <c:v>Region</c:v>
                </c:pt>
                <c:pt idx="1">
                  <c:v>Republic of Karakalpakstan</c:v>
                </c:pt>
                <c:pt idx="2">
                  <c:v>Andijan region</c:v>
                </c:pt>
                <c:pt idx="3">
                  <c:v>Bukhara region</c:v>
                </c:pt>
                <c:pt idx="4">
                  <c:v>Jizzakh region</c:v>
                </c:pt>
                <c:pt idx="5">
                  <c:v>Kashkadarya region</c:v>
                </c:pt>
                <c:pt idx="6">
                  <c:v>Navoi region</c:v>
                </c:pt>
                <c:pt idx="7">
                  <c:v>Namangan region</c:v>
                </c:pt>
                <c:pt idx="8">
                  <c:v>Samarkand region</c:v>
                </c:pt>
                <c:pt idx="9">
                  <c:v>Surkhandarya region</c:v>
                </c:pt>
                <c:pt idx="10">
                  <c:v>Syrdarya region</c:v>
                </c:pt>
                <c:pt idx="11">
                  <c:v>Tashkent region</c:v>
                </c:pt>
                <c:pt idx="12">
                  <c:v>Fergana region</c:v>
                </c:pt>
                <c:pt idx="13">
                  <c:v>Khorezm region</c:v>
                </c:pt>
              </c:strCache>
            </c:strRef>
          </c:cat>
          <c:val>
            <c:numRef>
              <c:f>'Population Data'!$C$2:$C$15</c:f>
              <c:numCache>
                <c:formatCode>0.00</c:formatCode>
                <c:ptCount val="14"/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05B-FD48-A365-738780096367}"/>
            </c:ext>
          </c:extLst>
        </c:ser>
        <c:ser>
          <c:idx val="2"/>
          <c:order val="2"/>
          <c:tx>
            <c:strRef>
              <c:f>'Population Data'!$D$1</c:f>
              <c:strCache>
                <c:ptCount val="1"/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'Population Data'!$A$2:$A$15</c:f>
              <c:strCache>
                <c:ptCount val="14"/>
                <c:pt idx="0">
                  <c:v>Region</c:v>
                </c:pt>
                <c:pt idx="1">
                  <c:v>Republic of Karakalpakstan</c:v>
                </c:pt>
                <c:pt idx="2">
                  <c:v>Andijan region</c:v>
                </c:pt>
                <c:pt idx="3">
                  <c:v>Bukhara region</c:v>
                </c:pt>
                <c:pt idx="4">
                  <c:v>Jizzakh region</c:v>
                </c:pt>
                <c:pt idx="5">
                  <c:v>Kashkadarya region</c:v>
                </c:pt>
                <c:pt idx="6">
                  <c:v>Navoi region</c:v>
                </c:pt>
                <c:pt idx="7">
                  <c:v>Namangan region</c:v>
                </c:pt>
                <c:pt idx="8">
                  <c:v>Samarkand region</c:v>
                </c:pt>
                <c:pt idx="9">
                  <c:v>Surkhandarya region</c:v>
                </c:pt>
                <c:pt idx="10">
                  <c:v>Syrdarya region</c:v>
                </c:pt>
                <c:pt idx="11">
                  <c:v>Tashkent region</c:v>
                </c:pt>
                <c:pt idx="12">
                  <c:v>Fergana region</c:v>
                </c:pt>
                <c:pt idx="13">
                  <c:v>Khorezm region</c:v>
                </c:pt>
              </c:strCache>
            </c:strRef>
          </c:cat>
          <c:val>
            <c:numRef>
              <c:f>'Population Data'!$D$2:$D$15</c:f>
              <c:numCache>
                <c:formatCode>0.00</c:formatCode>
                <c:ptCount val="14"/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205B-FD48-A365-7387800963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00473800"/>
        <c:axId val="400473408"/>
      </c:barChart>
      <c:catAx>
        <c:axId val="4004738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Region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extTo"/>
        <c:crossAx val="400473408"/>
        <c:crosses val="autoZero"/>
        <c:auto val="0"/>
        <c:lblAlgn val="ctr"/>
        <c:lblOffset val="100"/>
        <c:noMultiLvlLbl val="0"/>
      </c:catAx>
      <c:valAx>
        <c:axId val="40047340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Population (thousands)</a:t>
                </a:r>
              </a:p>
            </c:rich>
          </c:tx>
          <c:layout/>
          <c:overlay val="0"/>
        </c:title>
        <c:numFmt formatCode="0.00" sourceLinked="1"/>
        <c:majorTickMark val="none"/>
        <c:minorTickMark val="none"/>
        <c:tickLblPos val="nextTo"/>
        <c:crossAx val="400473800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Population Growth Rate by Region (2024–2025)</a:t>
            </a:r>
          </a:p>
        </c:rich>
      </c:tx>
      <c:layout/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'Population Data'!$C$2</c:f>
              <c:strCache>
                <c:ptCount val="1"/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'Population Data'!$A$3:$A$16</c:f>
              <c:strCache>
                <c:ptCount val="14"/>
                <c:pt idx="0">
                  <c:v>Republic of Karakalpakstan</c:v>
                </c:pt>
                <c:pt idx="1">
                  <c:v>Andijan region</c:v>
                </c:pt>
                <c:pt idx="2">
                  <c:v>Bukhara region</c:v>
                </c:pt>
                <c:pt idx="3">
                  <c:v>Jizzakh region</c:v>
                </c:pt>
                <c:pt idx="4">
                  <c:v>Kashkadarya region</c:v>
                </c:pt>
                <c:pt idx="5">
                  <c:v>Navoi region</c:v>
                </c:pt>
                <c:pt idx="6">
                  <c:v>Namangan region</c:v>
                </c:pt>
                <c:pt idx="7">
                  <c:v>Samarkand region</c:v>
                </c:pt>
                <c:pt idx="8">
                  <c:v>Surkhandarya region</c:v>
                </c:pt>
                <c:pt idx="9">
                  <c:v>Syrdarya region</c:v>
                </c:pt>
                <c:pt idx="10">
                  <c:v>Tashkent region</c:v>
                </c:pt>
                <c:pt idx="11">
                  <c:v>Fergana region</c:v>
                </c:pt>
                <c:pt idx="12">
                  <c:v>Khorezm region</c:v>
                </c:pt>
                <c:pt idx="13">
                  <c:v>Tashkent city</c:v>
                </c:pt>
              </c:strCache>
            </c:strRef>
          </c:cat>
          <c:val>
            <c:numRef>
              <c:f>'Population Data'!$C$3:$C$16</c:f>
              <c:numCache>
                <c:formatCode>0.00</c:formatCode>
                <c:ptCount val="14"/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DEB-384D-9A0F-3A58946818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00475368"/>
        <c:axId val="400475760"/>
      </c:lineChart>
      <c:catAx>
        <c:axId val="4004753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Region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extTo"/>
        <c:crossAx val="400475760"/>
        <c:crosses val="autoZero"/>
        <c:auto val="0"/>
        <c:lblAlgn val="ctr"/>
        <c:lblOffset val="100"/>
        <c:noMultiLvlLbl val="0"/>
      </c:catAx>
      <c:valAx>
        <c:axId val="40047576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Growth Rate (%)</a:t>
                </a:r>
              </a:p>
            </c:rich>
          </c:tx>
          <c:layout/>
          <c:overlay val="0"/>
        </c:title>
        <c:numFmt formatCode="0.00" sourceLinked="1"/>
        <c:majorTickMark val="none"/>
        <c:minorTickMark val="none"/>
        <c:tickLblPos val="nextTo"/>
        <c:crossAx val="400475368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GDP/capita distribution</a:t>
            </a:r>
            <a:r>
              <a:rPr lang="en-US" baseline="0"/>
              <a:t> </a:t>
            </a:r>
            <a:br>
              <a:rPr lang="en-US" baseline="0"/>
            </a:br>
            <a:r>
              <a:rPr lang="en-US" baseline="0"/>
              <a:t>- city vs regional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'Population Data'!$J$62</c:f>
              <c:strCache>
                <c:ptCount val="1"/>
                <c:pt idx="0">
                  <c:v> City GDP per Capita (USD) </c:v>
                </c:pt>
              </c:strCache>
            </c:strRef>
          </c:tx>
          <c:spPr>
            <a:solidFill>
              <a:schemeClr val="accent1">
                <a:alpha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'Population Data'!$I$63:$I$76</c:f>
              <c:strCache>
                <c:ptCount val="14"/>
                <c:pt idx="0">
                  <c:v>Nukus</c:v>
                </c:pt>
                <c:pt idx="1">
                  <c:v>Andijan</c:v>
                </c:pt>
                <c:pt idx="2">
                  <c:v>Bukhara</c:v>
                </c:pt>
                <c:pt idx="3">
                  <c:v>Jizzakh</c:v>
                </c:pt>
                <c:pt idx="4">
                  <c:v>Qarshi</c:v>
                </c:pt>
                <c:pt idx="5">
                  <c:v>Navoi</c:v>
                </c:pt>
                <c:pt idx="6">
                  <c:v>Namangan</c:v>
                </c:pt>
                <c:pt idx="7">
                  <c:v>Samarkand</c:v>
                </c:pt>
                <c:pt idx="8">
                  <c:v>Termiz</c:v>
                </c:pt>
                <c:pt idx="9">
                  <c:v>Gulistan</c:v>
                </c:pt>
                <c:pt idx="10">
                  <c:v>Nurafshon</c:v>
                </c:pt>
                <c:pt idx="11">
                  <c:v>Fergana </c:v>
                </c:pt>
                <c:pt idx="12">
                  <c:v>Urgench</c:v>
                </c:pt>
                <c:pt idx="13">
                  <c:v>Tashkent</c:v>
                </c:pt>
              </c:strCache>
            </c:strRef>
          </c:cat>
          <c:val>
            <c:numRef>
              <c:f>'Population Data'!$J$63:$J$76</c:f>
              <c:numCache>
                <c:formatCode>0.0</c:formatCode>
                <c:ptCount val="14"/>
                <c:pt idx="0">
                  <c:v>865.35094456429636</c:v>
                </c:pt>
                <c:pt idx="1">
                  <c:v>917.83638292281796</c:v>
                </c:pt>
                <c:pt idx="2">
                  <c:v>1135.4842711623419</c:v>
                </c:pt>
                <c:pt idx="3">
                  <c:v>948.01356692572131</c:v>
                </c:pt>
                <c:pt idx="4">
                  <c:v>787.2736921378953</c:v>
                </c:pt>
                <c:pt idx="5">
                  <c:v>4816.2810151369986</c:v>
                </c:pt>
                <c:pt idx="6">
                  <c:v>745.6306891849905</c:v>
                </c:pt>
                <c:pt idx="7">
                  <c:v>883.9463565811169</c:v>
                </c:pt>
                <c:pt idx="8">
                  <c:v>633.91199083108768</c:v>
                </c:pt>
                <c:pt idx="9">
                  <c:v>1112.5671474502119</c:v>
                </c:pt>
                <c:pt idx="10">
                  <c:v>1972.3034240083095</c:v>
                </c:pt>
                <c:pt idx="11">
                  <c:v>810.18756759174437</c:v>
                </c:pt>
                <c:pt idx="12">
                  <c:v>823.90626203883278</c:v>
                </c:pt>
                <c:pt idx="13">
                  <c:v>3323.1330107245617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43A2-054D-B2B2-18DA2288D4DE}"/>
            </c:ext>
          </c:extLst>
        </c:ser>
        <c:ser>
          <c:idx val="1"/>
          <c:order val="1"/>
          <c:tx>
            <c:strRef>
              <c:f>'Population Data'!$K$62</c:f>
              <c:strCache>
                <c:ptCount val="1"/>
                <c:pt idx="0">
                  <c:v> Regional GDP per Capita</c:v>
                </c:pt>
              </c:strCache>
            </c:strRef>
          </c:tx>
          <c:spPr>
            <a:solidFill>
              <a:schemeClr val="accent2">
                <a:alpha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'Population Data'!$I$63:$I$76</c:f>
              <c:strCache>
                <c:ptCount val="14"/>
                <c:pt idx="0">
                  <c:v>Nukus</c:v>
                </c:pt>
                <c:pt idx="1">
                  <c:v>Andijan</c:v>
                </c:pt>
                <c:pt idx="2">
                  <c:v>Bukhara</c:v>
                </c:pt>
                <c:pt idx="3">
                  <c:v>Jizzakh</c:v>
                </c:pt>
                <c:pt idx="4">
                  <c:v>Qarshi</c:v>
                </c:pt>
                <c:pt idx="5">
                  <c:v>Navoi</c:v>
                </c:pt>
                <c:pt idx="6">
                  <c:v>Namangan</c:v>
                </c:pt>
                <c:pt idx="7">
                  <c:v>Samarkand</c:v>
                </c:pt>
                <c:pt idx="8">
                  <c:v>Termiz</c:v>
                </c:pt>
                <c:pt idx="9">
                  <c:v>Gulistan</c:v>
                </c:pt>
                <c:pt idx="10">
                  <c:v>Nurafshon</c:v>
                </c:pt>
                <c:pt idx="11">
                  <c:v>Fergana </c:v>
                </c:pt>
                <c:pt idx="12">
                  <c:v>Urgench</c:v>
                </c:pt>
                <c:pt idx="13">
                  <c:v>Tashkent</c:v>
                </c:pt>
              </c:strCache>
            </c:strRef>
          </c:cat>
          <c:val>
            <c:numRef>
              <c:f>'Population Data'!$K$63:$K$76</c:f>
              <c:numCache>
                <c:formatCode>General</c:formatCode>
                <c:ptCount val="14"/>
                <c:pt idx="0">
                  <c:v>745.60653503730509</c:v>
                </c:pt>
                <c:pt idx="1">
                  <c:v>910.10052843115329</c:v>
                </c:pt>
                <c:pt idx="2">
                  <c:v>1173.869814082851</c:v>
                </c:pt>
                <c:pt idx="3">
                  <c:v>988.95636023964244</c:v>
                </c:pt>
                <c:pt idx="4">
                  <c:v>792.58400497120226</c:v>
                </c:pt>
                <c:pt idx="5">
                  <c:v>4210.4038946909686</c:v>
                </c:pt>
                <c:pt idx="6">
                  <c:v>712.09119394994798</c:v>
                </c:pt>
                <c:pt idx="7">
                  <c:v>822.5052168801684</c:v>
                </c:pt>
                <c:pt idx="8">
                  <c:v>702.94077492912788</c:v>
                </c:pt>
                <c:pt idx="9">
                  <c:v>1107.2523362362781</c:v>
                </c:pt>
                <c:pt idx="10">
                  <c:v>1779.5754073881708</c:v>
                </c:pt>
                <c:pt idx="11">
                  <c:v>786.74263700887991</c:v>
                </c:pt>
                <c:pt idx="12">
                  <c:v>854.67454568343658</c:v>
                </c:pt>
                <c:pt idx="13">
                  <c:v>3323.1327472903467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43A2-054D-B2B2-18DA2288D4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overlap val="25"/>
        <c:axId val="391766584"/>
        <c:axId val="391763448"/>
      </c:barChart>
      <c:catAx>
        <c:axId val="391766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587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91763448"/>
        <c:crosses val="autoZero"/>
        <c:auto val="1"/>
        <c:lblAlgn val="ctr"/>
        <c:lblOffset val="100"/>
        <c:noMultiLvlLbl val="0"/>
      </c:catAx>
      <c:valAx>
        <c:axId val="391763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91766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Population distribution</a:t>
            </a:r>
            <a:br>
              <a:rPr lang="en-US"/>
            </a:br>
            <a:r>
              <a:rPr lang="en-US"/>
              <a:t>-</a:t>
            </a:r>
            <a:r>
              <a:rPr lang="en-US" baseline="0"/>
              <a:t> city vs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'Population Data'!$F$62</c:f>
              <c:strCache>
                <c:ptCount val="1"/>
                <c:pt idx="0">
                  <c:v> City Population (thousands) </c:v>
                </c:pt>
              </c:strCache>
            </c:strRef>
          </c:tx>
          <c:spPr>
            <a:solidFill>
              <a:schemeClr val="accent1">
                <a:alpha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'Population Data'!$E$63:$E$76</c:f>
              <c:strCache>
                <c:ptCount val="14"/>
                <c:pt idx="0">
                  <c:v>Nukus</c:v>
                </c:pt>
                <c:pt idx="1">
                  <c:v>Andijan</c:v>
                </c:pt>
                <c:pt idx="2">
                  <c:v>Bukhara</c:v>
                </c:pt>
                <c:pt idx="3">
                  <c:v>Jizzakh</c:v>
                </c:pt>
                <c:pt idx="4">
                  <c:v>Qarshi</c:v>
                </c:pt>
                <c:pt idx="5">
                  <c:v>Navoi</c:v>
                </c:pt>
                <c:pt idx="6">
                  <c:v>Namangan</c:v>
                </c:pt>
                <c:pt idx="7">
                  <c:v>Samarkand</c:v>
                </c:pt>
                <c:pt idx="8">
                  <c:v>Termiz</c:v>
                </c:pt>
                <c:pt idx="9">
                  <c:v>Gulistan</c:v>
                </c:pt>
                <c:pt idx="10">
                  <c:v>Nurafshon</c:v>
                </c:pt>
                <c:pt idx="11">
                  <c:v>Fergana </c:v>
                </c:pt>
                <c:pt idx="12">
                  <c:v>Urgench</c:v>
                </c:pt>
                <c:pt idx="13">
                  <c:v>Tashkent</c:v>
                </c:pt>
              </c:strCache>
            </c:strRef>
          </c:cat>
          <c:val>
            <c:numRef>
              <c:f>'Population Data'!$F$63:$F$76</c:f>
              <c:numCache>
                <c:formatCode>0.0</c:formatCode>
                <c:ptCount val="14"/>
                <c:pt idx="0">
                  <c:v>339.2</c:v>
                </c:pt>
                <c:pt idx="1">
                  <c:v>480.8</c:v>
                </c:pt>
                <c:pt idx="2">
                  <c:v>269.5</c:v>
                </c:pt>
                <c:pt idx="3">
                  <c:v>195.8</c:v>
                </c:pt>
                <c:pt idx="4">
                  <c:v>295.60000000000002</c:v>
                </c:pt>
                <c:pt idx="5">
                  <c:v>161.30000000000001</c:v>
                </c:pt>
                <c:pt idx="6">
                  <c:v>696.5</c:v>
                </c:pt>
                <c:pt idx="7">
                  <c:v>585.20000000000005</c:v>
                </c:pt>
                <c:pt idx="8">
                  <c:v>201.6</c:v>
                </c:pt>
                <c:pt idx="9">
                  <c:v>77.3</c:v>
                </c:pt>
                <c:pt idx="10">
                  <c:v>56.2</c:v>
                </c:pt>
                <c:pt idx="11">
                  <c:v>321.8</c:v>
                </c:pt>
                <c:pt idx="12">
                  <c:v>153.1</c:v>
                </c:pt>
                <c:pt idx="13">
                  <c:v>3058.4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578B-0445-99F9-82C81FCAF3B4}"/>
            </c:ext>
          </c:extLst>
        </c:ser>
        <c:ser>
          <c:idx val="1"/>
          <c:order val="1"/>
          <c:tx>
            <c:strRef>
              <c:f>'Population Data'!$G$62</c:f>
              <c:strCache>
                <c:ptCount val="1"/>
                <c:pt idx="0">
                  <c:v> Region Population (thousands) </c:v>
                </c:pt>
              </c:strCache>
            </c:strRef>
          </c:tx>
          <c:spPr>
            <a:solidFill>
              <a:schemeClr val="accent2">
                <a:alpha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'Population Data'!$E$63:$E$76</c:f>
              <c:strCache>
                <c:ptCount val="14"/>
                <c:pt idx="0">
                  <c:v>Nukus</c:v>
                </c:pt>
                <c:pt idx="1">
                  <c:v>Andijan</c:v>
                </c:pt>
                <c:pt idx="2">
                  <c:v>Bukhara</c:v>
                </c:pt>
                <c:pt idx="3">
                  <c:v>Jizzakh</c:v>
                </c:pt>
                <c:pt idx="4">
                  <c:v>Qarshi</c:v>
                </c:pt>
                <c:pt idx="5">
                  <c:v>Navoi</c:v>
                </c:pt>
                <c:pt idx="6">
                  <c:v>Namangan</c:v>
                </c:pt>
                <c:pt idx="7">
                  <c:v>Samarkand</c:v>
                </c:pt>
                <c:pt idx="8">
                  <c:v>Termiz</c:v>
                </c:pt>
                <c:pt idx="9">
                  <c:v>Gulistan</c:v>
                </c:pt>
                <c:pt idx="10">
                  <c:v>Nurafshon</c:v>
                </c:pt>
                <c:pt idx="11">
                  <c:v>Fergana </c:v>
                </c:pt>
                <c:pt idx="12">
                  <c:v>Urgench</c:v>
                </c:pt>
                <c:pt idx="13">
                  <c:v>Tashkent</c:v>
                </c:pt>
              </c:strCache>
            </c:strRef>
          </c:cat>
          <c:val>
            <c:numRef>
              <c:f>'Population Data'!$G$63:$G$76</c:f>
              <c:numCache>
                <c:formatCode>0.0</c:formatCode>
                <c:ptCount val="14"/>
                <c:pt idx="0">
                  <c:v>2008.8</c:v>
                </c:pt>
                <c:pt idx="1">
                  <c:v>3409</c:v>
                </c:pt>
                <c:pt idx="2">
                  <c:v>2050.6</c:v>
                </c:pt>
                <c:pt idx="3">
                  <c:v>1514.5</c:v>
                </c:pt>
                <c:pt idx="4">
                  <c:v>3577</c:v>
                </c:pt>
                <c:pt idx="5">
                  <c:v>1079.9000000000001</c:v>
                </c:pt>
                <c:pt idx="6">
                  <c:v>3079.9</c:v>
                </c:pt>
                <c:pt idx="7">
                  <c:v>4227.3</c:v>
                </c:pt>
                <c:pt idx="8">
                  <c:v>2891.7</c:v>
                </c:pt>
                <c:pt idx="9">
                  <c:v>917.9</c:v>
                </c:pt>
                <c:pt idx="10">
                  <c:v>3066</c:v>
                </c:pt>
                <c:pt idx="11">
                  <c:v>4079.5</c:v>
                </c:pt>
                <c:pt idx="12">
                  <c:v>2002.8</c:v>
                </c:pt>
                <c:pt idx="13">
                  <c:v>3058.4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578B-0445-99F9-82C81FCAF3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overlap val="25"/>
        <c:axId val="391764624"/>
        <c:axId val="391765016"/>
      </c:barChart>
      <c:catAx>
        <c:axId val="391764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587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91765016"/>
        <c:crosses val="autoZero"/>
        <c:auto val="1"/>
        <c:lblAlgn val="ctr"/>
        <c:lblOffset val="100"/>
        <c:noMultiLvlLbl val="0"/>
      </c:catAx>
      <c:valAx>
        <c:axId val="391765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91764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>
            <a:alpha val="70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>
            <a:alpha val="70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410634</xdr:colOff>
      <xdr:row>0</xdr:row>
      <xdr:rowOff>84667</xdr:rowOff>
    </xdr:from>
    <xdr:ext cx="7200000" cy="3600000"/>
    <xdr:graphicFrame macro="">
      <xdr:nvGraphicFramePr>
        <xdr:cNvPr id="2" name="Chart 1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15</xdr:col>
      <xdr:colOff>368300</xdr:colOff>
      <xdr:row>18</xdr:row>
      <xdr:rowOff>169333</xdr:rowOff>
    </xdr:from>
    <xdr:ext cx="7200000" cy="3600000"/>
    <xdr:graphicFrame macro="">
      <xdr:nvGraphicFramePr>
        <xdr:cNvPr id="3" name="Chart 2">
          <a:extLst>
            <a:ext uri="{FF2B5EF4-FFF2-40B4-BE49-F238E27FC236}">
              <a16:creationId xmlns=""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twoCellAnchor>
    <xdr:from>
      <xdr:col>11</xdr:col>
      <xdr:colOff>182880</xdr:colOff>
      <xdr:row>51</xdr:row>
      <xdr:rowOff>50800</xdr:rowOff>
    </xdr:from>
    <xdr:to>
      <xdr:col>18</xdr:col>
      <xdr:colOff>60960</xdr:colOff>
      <xdr:row>65</xdr:row>
      <xdr:rowOff>91440</xdr:rowOff>
    </xdr:to>
    <xdr:graphicFrame macro="">
      <xdr:nvGraphicFramePr>
        <xdr:cNvPr id="9" name="Chart 8">
          <a:extLst>
            <a:ext uri="{FF2B5EF4-FFF2-40B4-BE49-F238E27FC236}">
              <a16:creationId xmlns="" xmlns:a16="http://schemas.microsoft.com/office/drawing/2014/main" id="{9E6B9DD3-9AD8-A0F9-6222-3097CBAAF3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182880</xdr:colOff>
      <xdr:row>66</xdr:row>
      <xdr:rowOff>20320</xdr:rowOff>
    </xdr:from>
    <xdr:to>
      <xdr:col>18</xdr:col>
      <xdr:colOff>60960</xdr:colOff>
      <xdr:row>80</xdr:row>
      <xdr:rowOff>60960</xdr:rowOff>
    </xdr:to>
    <xdr:graphicFrame macro="">
      <xdr:nvGraphicFramePr>
        <xdr:cNvPr id="11" name="Chart 10">
          <a:extLst>
            <a:ext uri="{FF2B5EF4-FFF2-40B4-BE49-F238E27FC236}">
              <a16:creationId xmlns="" xmlns:a16="http://schemas.microsoft.com/office/drawing/2014/main" id="{90BC8AFB-4008-3DDD-F6BC-DD31737172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stat.uz/en/press-center/news-of-committee/63476-ajsi-udud-a-olisi-soni-eng-tez-smo-da-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76"/>
  <sheetViews>
    <sheetView zoomScale="85" zoomScaleNormal="85" workbookViewId="0">
      <selection activeCell="G2" sqref="G2:G17"/>
    </sheetView>
  </sheetViews>
  <sheetFormatPr defaultColWidth="8.85546875" defaultRowHeight="15"/>
  <cols>
    <col min="1" max="1" width="21.7109375" customWidth="1"/>
    <col min="2" max="2" width="26.28515625" customWidth="1"/>
    <col min="3" max="3" width="5.140625" customWidth="1"/>
    <col min="4" max="4" width="3.42578125" customWidth="1"/>
    <col min="6" max="6" width="13.42578125" customWidth="1"/>
    <col min="7" max="7" width="14.140625" customWidth="1"/>
    <col min="8" max="8" width="9.85546875" customWidth="1"/>
    <col min="9" max="9" width="10.7109375" bestFit="1" customWidth="1"/>
    <col min="10" max="10" width="11.140625" style="7" bestFit="1" customWidth="1"/>
  </cols>
  <sheetData>
    <row r="1" spans="1:15" ht="18.75">
      <c r="A1" s="6" t="s">
        <v>0</v>
      </c>
      <c r="B1" s="7"/>
      <c r="C1" s="7"/>
      <c r="D1" s="7"/>
      <c r="E1" s="7" t="s">
        <v>23</v>
      </c>
      <c r="G1" s="7"/>
    </row>
    <row r="2" spans="1:15">
      <c r="A2" s="7" t="s">
        <v>1</v>
      </c>
      <c r="B2" s="7" t="s">
        <v>2</v>
      </c>
      <c r="C2" s="7"/>
      <c r="D2" s="7"/>
      <c r="E2" s="7"/>
      <c r="F2" s="7" t="s">
        <v>50</v>
      </c>
      <c r="G2" s="7" t="s">
        <v>43</v>
      </c>
      <c r="H2" s="7" t="s">
        <v>27</v>
      </c>
      <c r="I2" s="7" t="s">
        <v>52</v>
      </c>
      <c r="J2" s="7" t="s">
        <v>51</v>
      </c>
      <c r="K2" s="7" t="s">
        <v>44</v>
      </c>
      <c r="L2" s="7" t="s">
        <v>45</v>
      </c>
      <c r="M2" s="7" t="s">
        <v>46</v>
      </c>
      <c r="N2" s="7" t="s">
        <v>47</v>
      </c>
      <c r="O2" s="7" t="s">
        <v>49</v>
      </c>
    </row>
    <row r="3" spans="1:15">
      <c r="A3" s="7" t="s">
        <v>3</v>
      </c>
      <c r="B3" s="7">
        <v>2008.8</v>
      </c>
      <c r="C3" s="7"/>
      <c r="D3" s="7"/>
      <c r="E3" s="7">
        <v>2.8</v>
      </c>
      <c r="F3" s="7">
        <f>(((E3*100)/$E$18))*$A$19/100</f>
        <v>1497.7744075829385</v>
      </c>
      <c r="G3" s="7" t="s">
        <v>28</v>
      </c>
      <c r="H3" s="7">
        <v>339.2</v>
      </c>
      <c r="I3" s="7">
        <f>(H3/B3)*F3*(K3*$B$24+L3*$B$25+M3*$B$26+N3*$B$27)/100</f>
        <v>293.52704039620932</v>
      </c>
      <c r="J3" s="7">
        <f>I3/H3*1000</f>
        <v>865.35094456429636</v>
      </c>
      <c r="K3">
        <v>18.600000000000001</v>
      </c>
      <c r="L3">
        <v>24.9</v>
      </c>
      <c r="M3" s="7">
        <v>8.3000000000000007</v>
      </c>
      <c r="N3" s="7">
        <v>48.2</v>
      </c>
      <c r="O3">
        <f>SUM(K3:N3)</f>
        <v>100</v>
      </c>
    </row>
    <row r="4" spans="1:15">
      <c r="A4" s="7" t="s">
        <v>4</v>
      </c>
      <c r="B4" s="7">
        <v>3409</v>
      </c>
      <c r="C4" s="7"/>
      <c r="D4" s="7"/>
      <c r="E4" s="7">
        <v>5.8</v>
      </c>
      <c r="F4" s="7">
        <f t="shared" ref="F4:F16" si="0">(((E4*100)/$E$18))*$A$19/100</f>
        <v>3102.5327014218014</v>
      </c>
      <c r="G4" s="7" t="s">
        <v>29</v>
      </c>
      <c r="H4" s="7">
        <v>480.8</v>
      </c>
      <c r="I4" s="7">
        <f t="shared" ref="I4:I15" si="1">(H4/B4)*F4*(K4*$B$24+L4*$B$25+M4*$B$26+N4*$B$27)/100</f>
        <v>441.2957329092909</v>
      </c>
      <c r="J4" s="7">
        <f t="shared" ref="J4:J17" si="2">I4/H4*1000</f>
        <v>917.83638292281796</v>
      </c>
      <c r="K4">
        <v>31.6</v>
      </c>
      <c r="L4">
        <v>29.1</v>
      </c>
      <c r="M4" s="7">
        <v>5</v>
      </c>
      <c r="N4" s="7">
        <v>34.299999999999997</v>
      </c>
      <c r="O4">
        <f t="shared" ref="O4:O17" si="3">SUM(K4:N4)</f>
        <v>100</v>
      </c>
    </row>
    <row r="5" spans="1:15">
      <c r="A5" s="7" t="s">
        <v>5</v>
      </c>
      <c r="B5" s="7">
        <v>2050.6</v>
      </c>
      <c r="C5" s="7"/>
      <c r="D5" s="7"/>
      <c r="E5" s="7">
        <v>4.5</v>
      </c>
      <c r="F5" s="7">
        <f t="shared" si="0"/>
        <v>2407.1374407582939</v>
      </c>
      <c r="G5" s="7" t="s">
        <v>30</v>
      </c>
      <c r="H5" s="7">
        <v>269.5</v>
      </c>
      <c r="I5" s="7">
        <f t="shared" si="1"/>
        <v>306.01301107825111</v>
      </c>
      <c r="J5" s="7">
        <f t="shared" si="2"/>
        <v>1135.4842711623419</v>
      </c>
      <c r="K5">
        <v>35.200000000000003</v>
      </c>
      <c r="L5">
        <v>20.100000000000001</v>
      </c>
      <c r="M5" s="7">
        <v>10</v>
      </c>
      <c r="N5" s="7">
        <v>34.700000000000003</v>
      </c>
      <c r="O5">
        <f t="shared" si="3"/>
        <v>100.00000000000001</v>
      </c>
    </row>
    <row r="6" spans="1:15">
      <c r="A6" s="7" t="s">
        <v>6</v>
      </c>
      <c r="B6" s="7">
        <v>1514.5</v>
      </c>
      <c r="C6" s="7"/>
      <c r="D6" s="7"/>
      <c r="E6" s="7">
        <v>2.8</v>
      </c>
      <c r="F6" s="7">
        <f t="shared" si="0"/>
        <v>1497.7744075829385</v>
      </c>
      <c r="G6" s="7" t="s">
        <v>31</v>
      </c>
      <c r="H6" s="7">
        <v>195.8</v>
      </c>
      <c r="I6" s="7">
        <f t="shared" si="1"/>
        <v>185.62105640405625</v>
      </c>
      <c r="J6" s="7">
        <f t="shared" si="2"/>
        <v>948.01356692572131</v>
      </c>
      <c r="K6">
        <v>37.5</v>
      </c>
      <c r="L6">
        <v>20.3</v>
      </c>
      <c r="M6" s="7">
        <v>6.1</v>
      </c>
      <c r="N6" s="7">
        <v>36.1</v>
      </c>
      <c r="O6">
        <f t="shared" si="3"/>
        <v>100</v>
      </c>
    </row>
    <row r="7" spans="1:15">
      <c r="A7" s="7" t="s">
        <v>7</v>
      </c>
      <c r="B7" s="7">
        <v>3577</v>
      </c>
      <c r="C7" s="7"/>
      <c r="D7" s="7"/>
      <c r="E7" s="7">
        <v>5.3</v>
      </c>
      <c r="F7" s="7">
        <f t="shared" si="0"/>
        <v>2835.0729857819906</v>
      </c>
      <c r="G7" s="7" t="s">
        <v>32</v>
      </c>
      <c r="H7" s="7">
        <v>295.60000000000002</v>
      </c>
      <c r="I7" s="7">
        <f t="shared" si="1"/>
        <v>232.71810339596189</v>
      </c>
      <c r="J7" s="7">
        <f t="shared" si="2"/>
        <v>787.2736921378953</v>
      </c>
      <c r="K7">
        <v>34.200000000000003</v>
      </c>
      <c r="L7">
        <v>20.100000000000001</v>
      </c>
      <c r="M7" s="7">
        <v>7.2</v>
      </c>
      <c r="N7" s="7">
        <v>38.5</v>
      </c>
      <c r="O7">
        <f t="shared" si="3"/>
        <v>100</v>
      </c>
    </row>
    <row r="8" spans="1:15">
      <c r="A8" s="7" t="s">
        <v>8</v>
      </c>
      <c r="B8" s="7">
        <v>1079.9000000000001</v>
      </c>
      <c r="C8" s="7"/>
      <c r="D8" s="7"/>
      <c r="E8" s="7">
        <v>8.5</v>
      </c>
      <c r="F8" s="7">
        <f t="shared" si="0"/>
        <v>4546.8151658767774</v>
      </c>
      <c r="G8" s="7" t="s">
        <v>33</v>
      </c>
      <c r="H8" s="7">
        <v>161.30000000000001</v>
      </c>
      <c r="I8" s="7">
        <f t="shared" si="1"/>
        <v>776.86612774159789</v>
      </c>
      <c r="J8" s="7">
        <f t="shared" si="2"/>
        <v>4816.2810151369986</v>
      </c>
      <c r="K8">
        <v>9.4</v>
      </c>
      <c r="L8">
        <v>75.099999999999994</v>
      </c>
      <c r="M8" s="7">
        <v>3.6</v>
      </c>
      <c r="N8" s="7">
        <v>11.9</v>
      </c>
      <c r="O8">
        <f t="shared" si="3"/>
        <v>100</v>
      </c>
    </row>
    <row r="9" spans="1:15">
      <c r="A9" s="7" t="s">
        <v>9</v>
      </c>
      <c r="B9" s="7">
        <v>3079.9</v>
      </c>
      <c r="C9" s="7"/>
      <c r="D9" s="7"/>
      <c r="E9" s="7">
        <v>4.0999999999999996</v>
      </c>
      <c r="F9" s="7">
        <f t="shared" si="0"/>
        <v>2193.1696682464449</v>
      </c>
      <c r="G9" s="7" t="s">
        <v>34</v>
      </c>
      <c r="H9" s="7">
        <v>696.5</v>
      </c>
      <c r="I9" s="7">
        <f t="shared" si="1"/>
        <v>519.33177501734588</v>
      </c>
      <c r="J9" s="7">
        <f t="shared" si="2"/>
        <v>745.6306891849905</v>
      </c>
      <c r="K9">
        <v>30.3</v>
      </c>
      <c r="L9">
        <v>18.600000000000001</v>
      </c>
      <c r="M9" s="7">
        <v>6.7</v>
      </c>
      <c r="N9" s="7">
        <v>44.4</v>
      </c>
      <c r="O9">
        <f t="shared" si="3"/>
        <v>100</v>
      </c>
    </row>
    <row r="10" spans="1:15">
      <c r="A10" s="7" t="s">
        <v>10</v>
      </c>
      <c r="B10" s="7">
        <v>4227.3</v>
      </c>
      <c r="C10" s="7"/>
      <c r="D10" s="7"/>
      <c r="E10" s="7">
        <v>6.5</v>
      </c>
      <c r="F10" s="7">
        <f t="shared" si="0"/>
        <v>3476.9763033175359</v>
      </c>
      <c r="G10" s="7" t="s">
        <v>35</v>
      </c>
      <c r="H10" s="7">
        <v>585.20000000000005</v>
      </c>
      <c r="I10" s="7">
        <f t="shared" si="1"/>
        <v>517.28540787126963</v>
      </c>
      <c r="J10" s="7">
        <f t="shared" si="2"/>
        <v>883.9463565811169</v>
      </c>
      <c r="K10">
        <v>28.6</v>
      </c>
      <c r="L10">
        <v>17.7</v>
      </c>
      <c r="M10" s="7">
        <v>5.8</v>
      </c>
      <c r="N10" s="7">
        <v>47.9</v>
      </c>
      <c r="O10">
        <f t="shared" si="3"/>
        <v>100</v>
      </c>
    </row>
    <row r="11" spans="1:15">
      <c r="A11" s="7" t="s">
        <v>11</v>
      </c>
      <c r="B11" s="7">
        <v>2891.7</v>
      </c>
      <c r="C11" s="7"/>
      <c r="D11" s="7"/>
      <c r="E11" s="7">
        <v>3.8</v>
      </c>
      <c r="F11" s="7">
        <f t="shared" si="0"/>
        <v>2032.693838862559</v>
      </c>
      <c r="G11" s="7" t="s">
        <v>36</v>
      </c>
      <c r="H11" s="7">
        <v>201.6</v>
      </c>
      <c r="I11" s="7">
        <f t="shared" si="1"/>
        <v>127.79665735154725</v>
      </c>
      <c r="J11" s="7">
        <f t="shared" si="2"/>
        <v>633.91199083108768</v>
      </c>
      <c r="K11">
        <v>44.4</v>
      </c>
      <c r="L11">
        <v>8.3000000000000007</v>
      </c>
      <c r="M11" s="7">
        <v>8.1</v>
      </c>
      <c r="N11" s="7">
        <v>39.200000000000003</v>
      </c>
      <c r="O11">
        <f t="shared" si="3"/>
        <v>100</v>
      </c>
    </row>
    <row r="12" spans="1:15">
      <c r="A12" s="7" t="s">
        <v>12</v>
      </c>
      <c r="B12" s="7">
        <v>917.9</v>
      </c>
      <c r="C12" s="7"/>
      <c r="D12" s="7"/>
      <c r="E12" s="7">
        <v>1.9</v>
      </c>
      <c r="F12" s="7">
        <f t="shared" si="0"/>
        <v>1016.3469194312795</v>
      </c>
      <c r="G12" s="7" t="s">
        <v>37</v>
      </c>
      <c r="H12" s="7">
        <v>77.3</v>
      </c>
      <c r="I12" s="7">
        <f t="shared" si="1"/>
        <v>86.001440497901385</v>
      </c>
      <c r="J12" s="7">
        <f t="shared" si="2"/>
        <v>1112.5671474502119</v>
      </c>
      <c r="K12">
        <v>30.3</v>
      </c>
      <c r="L12">
        <v>32.700000000000003</v>
      </c>
      <c r="M12" s="7">
        <v>6.7</v>
      </c>
      <c r="N12" s="7">
        <v>30.3</v>
      </c>
      <c r="O12">
        <f t="shared" si="3"/>
        <v>100</v>
      </c>
    </row>
    <row r="13" spans="1:15">
      <c r="A13" s="7" t="s">
        <v>13</v>
      </c>
      <c r="B13" s="7">
        <v>3066</v>
      </c>
      <c r="C13" s="7"/>
      <c r="D13" s="7"/>
      <c r="E13" s="7">
        <v>10.199999999999999</v>
      </c>
      <c r="F13" s="7">
        <f t="shared" si="0"/>
        <v>5456.1781990521322</v>
      </c>
      <c r="G13" s="11" t="s">
        <v>13</v>
      </c>
      <c r="H13" s="11">
        <v>3066</v>
      </c>
      <c r="I13" s="7">
        <v>5456.1781990521322</v>
      </c>
      <c r="J13" s="12">
        <f t="shared" si="2"/>
        <v>1779.5754073881708</v>
      </c>
      <c r="K13" s="13">
        <v>17.8</v>
      </c>
      <c r="L13" s="13">
        <v>49.2</v>
      </c>
      <c r="M13" s="12">
        <v>6.1</v>
      </c>
      <c r="N13" s="12">
        <v>26.9</v>
      </c>
      <c r="O13" s="13">
        <f t="shared" si="3"/>
        <v>100</v>
      </c>
    </row>
    <row r="14" spans="1:15">
      <c r="A14" s="7" t="s">
        <v>14</v>
      </c>
      <c r="B14" s="7">
        <v>4079.5</v>
      </c>
      <c r="C14" s="7"/>
      <c r="D14" s="7"/>
      <c r="E14" s="7">
        <v>6</v>
      </c>
      <c r="F14" s="7">
        <f t="shared" si="0"/>
        <v>3209.5165876777255</v>
      </c>
      <c r="G14" s="7" t="s">
        <v>38</v>
      </c>
      <c r="H14" s="7">
        <v>321.8</v>
      </c>
      <c r="I14" s="7">
        <f t="shared" si="1"/>
        <v>260.71835925102334</v>
      </c>
      <c r="J14" s="7">
        <f t="shared" si="2"/>
        <v>810.18756759174437</v>
      </c>
      <c r="K14">
        <v>31.4</v>
      </c>
      <c r="L14">
        <v>20.3</v>
      </c>
      <c r="M14" s="7">
        <v>6.5</v>
      </c>
      <c r="N14" s="7">
        <v>41.8</v>
      </c>
      <c r="O14">
        <f t="shared" si="3"/>
        <v>100</v>
      </c>
    </row>
    <row r="15" spans="1:15">
      <c r="A15" s="7" t="s">
        <v>15</v>
      </c>
      <c r="B15" s="7">
        <v>2002.8</v>
      </c>
      <c r="C15" s="7"/>
      <c r="D15" s="7"/>
      <c r="E15" s="7">
        <v>3.2</v>
      </c>
      <c r="F15" s="7">
        <f t="shared" si="0"/>
        <v>1711.7421800947868</v>
      </c>
      <c r="G15" s="7" t="s">
        <v>40</v>
      </c>
      <c r="H15" s="7">
        <v>153.1</v>
      </c>
      <c r="I15" s="7">
        <f t="shared" si="1"/>
        <v>126.14004871814529</v>
      </c>
      <c r="J15" s="7">
        <f t="shared" si="2"/>
        <v>823.90626203883278</v>
      </c>
      <c r="K15">
        <v>37.200000000000003</v>
      </c>
      <c r="L15">
        <v>18.2</v>
      </c>
      <c r="M15" s="7">
        <v>7</v>
      </c>
      <c r="N15" s="7">
        <v>37.6</v>
      </c>
      <c r="O15">
        <f t="shared" si="3"/>
        <v>100</v>
      </c>
    </row>
    <row r="16" spans="1:15">
      <c r="A16" s="7" t="s">
        <v>16</v>
      </c>
      <c r="B16" s="7">
        <v>3058.4</v>
      </c>
      <c r="C16" s="7"/>
      <c r="D16" s="7"/>
      <c r="E16" s="7">
        <v>19</v>
      </c>
      <c r="F16" s="7">
        <f t="shared" si="0"/>
        <v>10163.469194312796</v>
      </c>
      <c r="G16" s="7" t="s">
        <v>41</v>
      </c>
      <c r="H16" s="7">
        <v>3058.4</v>
      </c>
      <c r="I16" s="14">
        <v>10163.469999999999</v>
      </c>
      <c r="J16" s="7">
        <f t="shared" si="2"/>
        <v>3323.1330107245617</v>
      </c>
      <c r="K16">
        <v>0</v>
      </c>
      <c r="L16">
        <v>29.6</v>
      </c>
      <c r="M16" s="7">
        <v>8.1999999999999993</v>
      </c>
      <c r="N16" s="7">
        <v>62.2</v>
      </c>
      <c r="O16">
        <f t="shared" si="3"/>
        <v>100</v>
      </c>
    </row>
    <row r="17" spans="1:15">
      <c r="A17" s="7"/>
      <c r="B17" s="7"/>
      <c r="C17" s="7"/>
      <c r="D17" s="7"/>
      <c r="G17" s="7" t="s">
        <v>39</v>
      </c>
      <c r="H17" s="7">
        <v>56.2</v>
      </c>
      <c r="I17" s="7">
        <f>(H17/B13)*F13*(K17*$B$24+L17*$B$25+M17*$B$26+N17*$B$27)/100</f>
        <v>110.843452429267</v>
      </c>
      <c r="J17" s="7">
        <f t="shared" si="2"/>
        <v>1972.3034240083095</v>
      </c>
      <c r="K17">
        <v>17.8</v>
      </c>
      <c r="L17">
        <v>49.2</v>
      </c>
      <c r="M17" s="7">
        <v>6.1</v>
      </c>
      <c r="N17" s="7">
        <v>26.9</v>
      </c>
      <c r="O17">
        <f t="shared" si="3"/>
        <v>100</v>
      </c>
    </row>
    <row r="18" spans="1:15">
      <c r="A18" s="7"/>
      <c r="B18" s="7"/>
      <c r="C18" s="7"/>
      <c r="D18" s="7" t="s">
        <v>48</v>
      </c>
      <c r="E18" s="7">
        <f>SUM(E3:E16)</f>
        <v>84.399999999999991</v>
      </c>
      <c r="F18" s="8">
        <f>SUM(F3:F16)</f>
        <v>45147.200000000004</v>
      </c>
      <c r="G18" s="7"/>
      <c r="H18" s="8">
        <f>SUM(H3:H17)-H13</f>
        <v>6892.3000000000011</v>
      </c>
      <c r="I18" s="16">
        <f>SUM(I3:I17)-I13</f>
        <v>14147.628213061866</v>
      </c>
      <c r="J18" s="17">
        <f>I18/A19</f>
        <v>0.31336668083650515</v>
      </c>
    </row>
    <row r="19" spans="1:15">
      <c r="A19" s="9">
        <v>45147.199999999997</v>
      </c>
      <c r="B19" s="7" t="s">
        <v>26</v>
      </c>
      <c r="C19" s="7"/>
      <c r="D19" s="7"/>
      <c r="E19" s="7"/>
      <c r="F19" s="7"/>
      <c r="G19" s="7" t="s">
        <v>57</v>
      </c>
      <c r="H19" s="9">
        <f>H18/37000*100</f>
        <v>18.627837837837841</v>
      </c>
      <c r="I19" s="10" t="s">
        <v>42</v>
      </c>
      <c r="J19" s="7">
        <f>SUM(J3:J17)</f>
        <v>21555.4017286491</v>
      </c>
    </row>
    <row r="20" spans="1:15">
      <c r="A20" s="9">
        <v>1221.3</v>
      </c>
      <c r="B20" s="7" t="s">
        <v>24</v>
      </c>
      <c r="C20" s="7"/>
      <c r="D20" s="7"/>
      <c r="E20" s="7"/>
      <c r="F20" s="7"/>
      <c r="G20" s="7" t="s">
        <v>58</v>
      </c>
      <c r="H20" s="7"/>
      <c r="I20" s="7"/>
    </row>
    <row r="21" spans="1:15">
      <c r="A21" s="9">
        <v>12567</v>
      </c>
      <c r="B21" s="7" t="s">
        <v>25</v>
      </c>
      <c r="C21" s="7"/>
      <c r="D21" s="7"/>
      <c r="E21" s="7"/>
      <c r="F21" s="7"/>
      <c r="G21" s="7"/>
      <c r="H21" s="7"/>
      <c r="I21" s="7"/>
    </row>
    <row r="23" spans="1:15">
      <c r="H23" t="s">
        <v>70</v>
      </c>
    </row>
    <row r="24" spans="1:15">
      <c r="A24" t="s">
        <v>53</v>
      </c>
      <c r="B24">
        <v>0.3</v>
      </c>
    </row>
    <row r="25" spans="1:15" ht="15.75">
      <c r="A25" t="s">
        <v>54</v>
      </c>
      <c r="B25">
        <v>1.2</v>
      </c>
      <c r="D25" s="3"/>
    </row>
    <row r="26" spans="1:15" ht="15.75">
      <c r="A26" t="s">
        <v>55</v>
      </c>
      <c r="B26">
        <v>1</v>
      </c>
      <c r="D26" s="4"/>
      <c r="E26" t="s">
        <v>59</v>
      </c>
      <c r="F26" t="s">
        <v>60</v>
      </c>
      <c r="G26" t="s">
        <v>61</v>
      </c>
      <c r="H26" t="s">
        <v>62</v>
      </c>
      <c r="I26" t="s">
        <v>63</v>
      </c>
      <c r="J26" s="7" t="s">
        <v>64</v>
      </c>
      <c r="K26" t="s">
        <v>65</v>
      </c>
      <c r="L26" t="s">
        <v>66</v>
      </c>
      <c r="M26" t="s">
        <v>67</v>
      </c>
      <c r="N26" t="s">
        <v>68</v>
      </c>
    </row>
    <row r="27" spans="1:15" ht="15.75">
      <c r="A27" t="s">
        <v>56</v>
      </c>
      <c r="B27">
        <v>1.5</v>
      </c>
      <c r="D27" s="4"/>
      <c r="E27" t="s">
        <v>28</v>
      </c>
      <c r="F27" s="15">
        <v>339.2</v>
      </c>
      <c r="G27" s="15">
        <v>2008.8</v>
      </c>
      <c r="H27" s="15">
        <v>1497.7744075829385</v>
      </c>
      <c r="I27" s="15">
        <v>293.52704039620932</v>
      </c>
      <c r="J27" s="15">
        <v>865.35094456429636</v>
      </c>
      <c r="K27" s="15">
        <v>18.600000000000001</v>
      </c>
      <c r="L27" s="15">
        <v>24.9</v>
      </c>
      <c r="M27" s="15">
        <v>8.3000000000000007</v>
      </c>
      <c r="N27" s="15">
        <v>48.2</v>
      </c>
    </row>
    <row r="28" spans="1:15" ht="15.75">
      <c r="D28" s="4"/>
      <c r="E28" t="s">
        <v>29</v>
      </c>
      <c r="F28" s="15">
        <v>480.8</v>
      </c>
      <c r="G28" s="15">
        <v>3409</v>
      </c>
      <c r="H28" s="15">
        <v>3102.5327014218014</v>
      </c>
      <c r="I28" s="15">
        <v>441.2957329092909</v>
      </c>
      <c r="J28" s="15">
        <v>917.83638292281796</v>
      </c>
      <c r="K28" s="15">
        <v>31.6</v>
      </c>
      <c r="L28" s="15">
        <v>29.1</v>
      </c>
      <c r="M28" s="15">
        <v>5</v>
      </c>
      <c r="N28" s="15">
        <v>34.299999999999997</v>
      </c>
    </row>
    <row r="29" spans="1:15" ht="15.75">
      <c r="D29" s="4"/>
      <c r="E29" t="s">
        <v>30</v>
      </c>
      <c r="F29" s="15">
        <v>269.5</v>
      </c>
      <c r="G29" s="15">
        <v>2050.6</v>
      </c>
      <c r="H29" s="15">
        <v>2407.1374407582939</v>
      </c>
      <c r="I29" s="15">
        <v>306.01301107825111</v>
      </c>
      <c r="J29" s="15">
        <v>1135.4842711623419</v>
      </c>
      <c r="K29" s="15">
        <v>35.200000000000003</v>
      </c>
      <c r="L29" s="15">
        <v>20.100000000000001</v>
      </c>
      <c r="M29" s="15">
        <v>10</v>
      </c>
      <c r="N29" s="15">
        <v>34.700000000000003</v>
      </c>
    </row>
    <row r="30" spans="1:15" ht="15.75">
      <c r="D30" s="4"/>
      <c r="E30" t="s">
        <v>31</v>
      </c>
      <c r="F30" s="15">
        <v>195.8</v>
      </c>
      <c r="G30" s="15">
        <v>1514.5</v>
      </c>
      <c r="H30" s="15">
        <v>1497.7744075829385</v>
      </c>
      <c r="I30" s="15">
        <v>185.62105640405625</v>
      </c>
      <c r="J30" s="15">
        <v>948.01356692572131</v>
      </c>
      <c r="K30" s="15">
        <v>37.5</v>
      </c>
      <c r="L30" s="15">
        <v>20.3</v>
      </c>
      <c r="M30" s="15">
        <v>6.1</v>
      </c>
      <c r="N30" s="15">
        <v>36.1</v>
      </c>
    </row>
    <row r="31" spans="1:15" ht="15.75">
      <c r="D31" s="4"/>
      <c r="E31" t="s">
        <v>32</v>
      </c>
      <c r="F31" s="15">
        <v>295.60000000000002</v>
      </c>
      <c r="G31" s="15">
        <v>3577</v>
      </c>
      <c r="H31" s="15">
        <v>2835.0729857819906</v>
      </c>
      <c r="I31" s="15">
        <v>232.71810339596189</v>
      </c>
      <c r="J31" s="15">
        <v>787.2736921378953</v>
      </c>
      <c r="K31" s="15">
        <v>34.200000000000003</v>
      </c>
      <c r="L31" s="15">
        <v>20.100000000000001</v>
      </c>
      <c r="M31" s="15">
        <v>7.2</v>
      </c>
      <c r="N31" s="15">
        <v>38.5</v>
      </c>
    </row>
    <row r="32" spans="1:15" ht="15.75">
      <c r="D32" s="4"/>
      <c r="E32" t="s">
        <v>33</v>
      </c>
      <c r="F32" s="15">
        <v>161.30000000000001</v>
      </c>
      <c r="G32" s="15">
        <v>1079.9000000000001</v>
      </c>
      <c r="H32" s="15">
        <v>4546.8151658767774</v>
      </c>
      <c r="I32" s="15">
        <v>776.86612774159789</v>
      </c>
      <c r="J32" s="15">
        <v>4816.2810151369986</v>
      </c>
      <c r="K32" s="15">
        <v>9.4</v>
      </c>
      <c r="L32" s="15">
        <v>75.099999999999994</v>
      </c>
      <c r="M32" s="15">
        <v>3.6</v>
      </c>
      <c r="N32" s="15">
        <v>11.9</v>
      </c>
    </row>
    <row r="33" spans="4:14" ht="15.75">
      <c r="D33" s="4"/>
      <c r="E33" t="s">
        <v>34</v>
      </c>
      <c r="F33" s="15">
        <v>696.5</v>
      </c>
      <c r="G33" s="15">
        <v>3079.9</v>
      </c>
      <c r="H33" s="15">
        <v>2193.1696682464449</v>
      </c>
      <c r="I33" s="15">
        <v>519.33177501734588</v>
      </c>
      <c r="J33" s="15">
        <v>745.6306891849905</v>
      </c>
      <c r="K33" s="15">
        <v>30.3</v>
      </c>
      <c r="L33" s="15">
        <v>18.600000000000001</v>
      </c>
      <c r="M33" s="15">
        <v>6.7</v>
      </c>
      <c r="N33" s="15">
        <v>44.4</v>
      </c>
    </row>
    <row r="34" spans="4:14" ht="15.75">
      <c r="D34" s="4"/>
      <c r="E34" t="s">
        <v>35</v>
      </c>
      <c r="F34" s="15">
        <v>585.20000000000005</v>
      </c>
      <c r="G34" s="15">
        <v>4227.3</v>
      </c>
      <c r="H34" s="15">
        <v>3476.9763033175359</v>
      </c>
      <c r="I34" s="15">
        <v>517.28540787126963</v>
      </c>
      <c r="J34" s="15">
        <v>883.9463565811169</v>
      </c>
      <c r="K34" s="15">
        <v>28.6</v>
      </c>
      <c r="L34" s="15">
        <v>17.7</v>
      </c>
      <c r="M34" s="15">
        <v>5.8</v>
      </c>
      <c r="N34" s="15">
        <v>47.9</v>
      </c>
    </row>
    <row r="35" spans="4:14" ht="15.75">
      <c r="D35" s="4"/>
      <c r="E35" t="s">
        <v>36</v>
      </c>
      <c r="F35" s="15">
        <v>201.6</v>
      </c>
      <c r="G35" s="15">
        <v>2891.7</v>
      </c>
      <c r="H35" s="15">
        <v>2032.693838862559</v>
      </c>
      <c r="I35" s="15">
        <v>127.79665735154725</v>
      </c>
      <c r="J35" s="15">
        <v>633.91199083108768</v>
      </c>
      <c r="K35" s="15">
        <v>44.4</v>
      </c>
      <c r="L35" s="15">
        <v>8.3000000000000007</v>
      </c>
      <c r="M35" s="15">
        <v>8.1</v>
      </c>
      <c r="N35" s="15">
        <v>39.200000000000003</v>
      </c>
    </row>
    <row r="36" spans="4:14" ht="15.75">
      <c r="D36" s="4"/>
      <c r="E36" t="s">
        <v>37</v>
      </c>
      <c r="F36" s="15">
        <v>77.3</v>
      </c>
      <c r="G36" s="15">
        <v>917.9</v>
      </c>
      <c r="H36" s="15">
        <v>1016.3469194312795</v>
      </c>
      <c r="I36" s="15">
        <v>86.001440497901385</v>
      </c>
      <c r="J36" s="15">
        <v>1112.5671474502119</v>
      </c>
      <c r="K36" s="15">
        <v>30.3</v>
      </c>
      <c r="L36" s="15">
        <v>32.700000000000003</v>
      </c>
      <c r="M36" s="15">
        <v>6.7</v>
      </c>
      <c r="N36" s="15">
        <v>30.3</v>
      </c>
    </row>
    <row r="37" spans="4:14" ht="15.75">
      <c r="D37" s="4"/>
      <c r="E37" t="s">
        <v>13</v>
      </c>
      <c r="F37" s="15">
        <v>3066</v>
      </c>
      <c r="G37" s="15">
        <v>3066</v>
      </c>
      <c r="H37" s="15">
        <v>5456.1781990521322</v>
      </c>
      <c r="I37" s="15">
        <v>5456.1781990521322</v>
      </c>
      <c r="J37" s="15">
        <v>1779.5754073881708</v>
      </c>
      <c r="K37" s="15">
        <v>17.8</v>
      </c>
      <c r="L37" s="15">
        <v>49.2</v>
      </c>
      <c r="M37" s="15">
        <v>6.1</v>
      </c>
      <c r="N37" s="15">
        <v>26.9</v>
      </c>
    </row>
    <row r="38" spans="4:14" ht="15.75">
      <c r="D38" s="4"/>
      <c r="E38" t="s">
        <v>38</v>
      </c>
      <c r="F38" s="15">
        <v>321.8</v>
      </c>
      <c r="G38" s="15">
        <v>4079.5</v>
      </c>
      <c r="H38" s="15">
        <v>3209.5165876777255</v>
      </c>
      <c r="I38" s="15">
        <v>260.71835925102334</v>
      </c>
      <c r="J38" s="15">
        <v>810.18756759174437</v>
      </c>
      <c r="K38" s="15">
        <v>31.4</v>
      </c>
      <c r="L38" s="15">
        <v>20.3</v>
      </c>
      <c r="M38" s="15">
        <v>6.5</v>
      </c>
      <c r="N38" s="15">
        <v>41.8</v>
      </c>
    </row>
    <row r="39" spans="4:14" ht="15.75">
      <c r="D39" s="4"/>
      <c r="E39" t="s">
        <v>40</v>
      </c>
      <c r="F39" s="15">
        <v>153.1</v>
      </c>
      <c r="G39" s="15">
        <v>2002.8</v>
      </c>
      <c r="H39" s="15">
        <v>1711.7421800947868</v>
      </c>
      <c r="I39" s="15">
        <v>126.14004871814529</v>
      </c>
      <c r="J39" s="15">
        <v>823.90626203883278</v>
      </c>
      <c r="K39" s="15">
        <v>37.200000000000003</v>
      </c>
      <c r="L39" s="15">
        <v>18.2</v>
      </c>
      <c r="M39" s="15">
        <v>7</v>
      </c>
      <c r="N39" s="15">
        <v>37.6</v>
      </c>
    </row>
    <row r="40" spans="4:14" ht="15.75">
      <c r="D40" s="5"/>
      <c r="E40" t="s">
        <v>41</v>
      </c>
      <c r="F40" s="15">
        <v>3058.4</v>
      </c>
      <c r="G40" s="15">
        <v>3058.4</v>
      </c>
      <c r="H40" s="15">
        <v>10163.469194312796</v>
      </c>
      <c r="I40" s="15">
        <v>10163.469999999999</v>
      </c>
      <c r="J40" s="15">
        <v>3323.1330107245617</v>
      </c>
      <c r="K40" s="15">
        <v>0</v>
      </c>
      <c r="L40" s="15">
        <v>29.6</v>
      </c>
      <c r="M40" s="15">
        <v>8.1999999999999993</v>
      </c>
      <c r="N40" s="15">
        <v>62.2</v>
      </c>
    </row>
    <row r="41" spans="4:14">
      <c r="E41" t="s">
        <v>39</v>
      </c>
      <c r="F41" s="15">
        <v>56.2</v>
      </c>
      <c r="G41" s="15"/>
      <c r="H41" s="15"/>
      <c r="I41" s="15">
        <v>110.843452429267</v>
      </c>
      <c r="J41" s="15">
        <v>1972.3034240083095</v>
      </c>
      <c r="K41" s="15">
        <v>17.8</v>
      </c>
      <c r="L41" s="15">
        <v>49.2</v>
      </c>
      <c r="M41" s="15">
        <v>6.1</v>
      </c>
      <c r="N41" s="15">
        <v>26.9</v>
      </c>
    </row>
    <row r="45" spans="4:14">
      <c r="E45" t="s">
        <v>59</v>
      </c>
      <c r="F45" t="s">
        <v>60</v>
      </c>
      <c r="G45" s="7" t="s">
        <v>64</v>
      </c>
      <c r="H45" t="s">
        <v>61</v>
      </c>
      <c r="I45" t="s">
        <v>62</v>
      </c>
      <c r="J45" t="s">
        <v>69</v>
      </c>
    </row>
    <row r="46" spans="4:14">
      <c r="E46" t="s">
        <v>28</v>
      </c>
      <c r="F46" s="15">
        <v>339.2</v>
      </c>
      <c r="G46" s="15">
        <v>865.35094456429636</v>
      </c>
      <c r="H46" s="15">
        <v>2008.8</v>
      </c>
      <c r="I46" s="15">
        <v>1497.7744075829385</v>
      </c>
      <c r="J46" s="15">
        <f>I46/H46*1000</f>
        <v>745.60653503730509</v>
      </c>
    </row>
    <row r="47" spans="4:14">
      <c r="E47" t="s">
        <v>29</v>
      </c>
      <c r="F47" s="15">
        <v>480.8</v>
      </c>
      <c r="G47" s="15">
        <v>917.83638292281796</v>
      </c>
      <c r="H47" s="15">
        <v>3409</v>
      </c>
      <c r="I47" s="15">
        <v>3102.5327014218014</v>
      </c>
      <c r="J47" s="15">
        <f t="shared" ref="J47:J59" si="4">I47/H47*1000</f>
        <v>910.10052843115329</v>
      </c>
    </row>
    <row r="48" spans="4:14">
      <c r="E48" t="s">
        <v>30</v>
      </c>
      <c r="F48" s="15">
        <v>269.5</v>
      </c>
      <c r="G48" s="15">
        <v>1135.4842711623419</v>
      </c>
      <c r="H48" s="15">
        <v>2050.6</v>
      </c>
      <c r="I48" s="15">
        <v>2407.1374407582939</v>
      </c>
      <c r="J48" s="15">
        <f t="shared" si="4"/>
        <v>1173.869814082851</v>
      </c>
    </row>
    <row r="49" spans="5:11">
      <c r="E49" t="s">
        <v>31</v>
      </c>
      <c r="F49" s="15">
        <v>195.8</v>
      </c>
      <c r="G49" s="15">
        <v>948.01356692572131</v>
      </c>
      <c r="H49" s="15">
        <v>1514.5</v>
      </c>
      <c r="I49" s="15">
        <v>1497.7744075829385</v>
      </c>
      <c r="J49" s="15">
        <f t="shared" si="4"/>
        <v>988.95636023964244</v>
      </c>
    </row>
    <row r="50" spans="5:11">
      <c r="E50" t="s">
        <v>32</v>
      </c>
      <c r="F50" s="15">
        <v>295.60000000000002</v>
      </c>
      <c r="G50" s="15">
        <v>787.2736921378953</v>
      </c>
      <c r="H50" s="15">
        <v>3577</v>
      </c>
      <c r="I50" s="15">
        <v>2835.0729857819906</v>
      </c>
      <c r="J50" s="15">
        <f t="shared" si="4"/>
        <v>792.58400497120226</v>
      </c>
    </row>
    <row r="51" spans="5:11">
      <c r="E51" t="s">
        <v>33</v>
      </c>
      <c r="F51" s="15">
        <v>161.30000000000001</v>
      </c>
      <c r="G51" s="15">
        <v>4816.2810151369986</v>
      </c>
      <c r="H51" s="15">
        <v>1079.9000000000001</v>
      </c>
      <c r="I51" s="15">
        <v>4546.8151658767774</v>
      </c>
      <c r="J51" s="15">
        <f t="shared" si="4"/>
        <v>4210.4038946909686</v>
      </c>
    </row>
    <row r="52" spans="5:11">
      <c r="E52" t="s">
        <v>34</v>
      </c>
      <c r="F52" s="15">
        <v>696.5</v>
      </c>
      <c r="G52" s="15">
        <v>745.6306891849905</v>
      </c>
      <c r="H52" s="15">
        <v>3079.9</v>
      </c>
      <c r="I52" s="15">
        <v>2193.1696682464449</v>
      </c>
      <c r="J52" s="15">
        <f t="shared" si="4"/>
        <v>712.09119394994798</v>
      </c>
    </row>
    <row r="53" spans="5:11">
      <c r="E53" t="s">
        <v>35</v>
      </c>
      <c r="F53" s="15">
        <v>585.20000000000005</v>
      </c>
      <c r="G53" s="15">
        <v>883.9463565811169</v>
      </c>
      <c r="H53" s="15">
        <v>4227.3</v>
      </c>
      <c r="I53" s="15">
        <v>3476.9763033175359</v>
      </c>
      <c r="J53" s="15">
        <f t="shared" si="4"/>
        <v>822.5052168801684</v>
      </c>
    </row>
    <row r="54" spans="5:11">
      <c r="E54" t="s">
        <v>36</v>
      </c>
      <c r="F54" s="15">
        <v>201.6</v>
      </c>
      <c r="G54" s="15">
        <v>633.91199083108768</v>
      </c>
      <c r="H54" s="15">
        <v>2891.7</v>
      </c>
      <c r="I54" s="15">
        <v>2032.693838862559</v>
      </c>
      <c r="J54" s="15">
        <f t="shared" si="4"/>
        <v>702.94077492912788</v>
      </c>
    </row>
    <row r="55" spans="5:11">
      <c r="E55" t="s">
        <v>37</v>
      </c>
      <c r="F55" s="15">
        <v>77.3</v>
      </c>
      <c r="G55" s="15">
        <v>1112.5671474502119</v>
      </c>
      <c r="H55" s="15">
        <v>917.9</v>
      </c>
      <c r="I55" s="15">
        <v>1016.3469194312795</v>
      </c>
      <c r="J55" s="15">
        <f t="shared" si="4"/>
        <v>1107.2523362362781</v>
      </c>
    </row>
    <row r="56" spans="5:11">
      <c r="E56" t="s">
        <v>39</v>
      </c>
      <c r="F56" s="15">
        <v>56.2</v>
      </c>
      <c r="G56" s="15">
        <v>1972.3034240083095</v>
      </c>
      <c r="H56" s="15">
        <v>3066</v>
      </c>
      <c r="I56" s="15">
        <v>5456.1781990521322</v>
      </c>
      <c r="J56" s="15">
        <f t="shared" si="4"/>
        <v>1779.5754073881708</v>
      </c>
    </row>
    <row r="57" spans="5:11">
      <c r="E57" t="s">
        <v>38</v>
      </c>
      <c r="F57" s="15">
        <v>321.8</v>
      </c>
      <c r="G57" s="15">
        <v>810.18756759174437</v>
      </c>
      <c r="H57" s="15">
        <v>4079.5</v>
      </c>
      <c r="I57" s="15">
        <v>3209.5165876777255</v>
      </c>
      <c r="J57" s="15">
        <f t="shared" si="4"/>
        <v>786.74263700887991</v>
      </c>
    </row>
    <row r="58" spans="5:11">
      <c r="E58" t="s">
        <v>40</v>
      </c>
      <c r="F58" s="15">
        <v>153.1</v>
      </c>
      <c r="G58" s="15">
        <v>823.90626203883278</v>
      </c>
      <c r="H58" s="15">
        <v>2002.8</v>
      </c>
      <c r="I58" s="15">
        <v>1711.7421800947868</v>
      </c>
      <c r="J58" s="15">
        <f t="shared" si="4"/>
        <v>854.67454568343658</v>
      </c>
    </row>
    <row r="59" spans="5:11">
      <c r="E59" t="s">
        <v>41</v>
      </c>
      <c r="F59" s="15">
        <v>3058.4</v>
      </c>
      <c r="G59" s="15">
        <v>3323.1330107245617</v>
      </c>
      <c r="H59" s="15">
        <v>3058.4</v>
      </c>
      <c r="I59" s="15">
        <v>10163.469194312796</v>
      </c>
      <c r="J59" s="15">
        <f t="shared" si="4"/>
        <v>3323.1327472903467</v>
      </c>
    </row>
    <row r="62" spans="5:11">
      <c r="E62" t="s">
        <v>59</v>
      </c>
      <c r="F62" t="s">
        <v>60</v>
      </c>
      <c r="G62" t="s">
        <v>61</v>
      </c>
      <c r="I62" t="s">
        <v>59</v>
      </c>
      <c r="J62" s="7" t="s">
        <v>64</v>
      </c>
      <c r="K62" t="s">
        <v>69</v>
      </c>
    </row>
    <row r="63" spans="5:11">
      <c r="E63" t="s">
        <v>28</v>
      </c>
      <c r="F63" s="15">
        <v>339.2</v>
      </c>
      <c r="G63" s="15">
        <v>2008.8</v>
      </c>
      <c r="I63" t="s">
        <v>28</v>
      </c>
      <c r="J63" s="15">
        <v>865.35094456429636</v>
      </c>
      <c r="K63">
        <v>745.60653503730509</v>
      </c>
    </row>
    <row r="64" spans="5:11">
      <c r="E64" t="s">
        <v>29</v>
      </c>
      <c r="F64" s="15">
        <v>480.8</v>
      </c>
      <c r="G64" s="15">
        <v>3409</v>
      </c>
      <c r="I64" t="s">
        <v>29</v>
      </c>
      <c r="J64" s="15">
        <v>917.83638292281796</v>
      </c>
      <c r="K64">
        <v>910.10052843115329</v>
      </c>
    </row>
    <row r="65" spans="5:11">
      <c r="E65" t="s">
        <v>30</v>
      </c>
      <c r="F65" s="15">
        <v>269.5</v>
      </c>
      <c r="G65" s="15">
        <v>2050.6</v>
      </c>
      <c r="I65" t="s">
        <v>30</v>
      </c>
      <c r="J65" s="15">
        <v>1135.4842711623419</v>
      </c>
      <c r="K65">
        <v>1173.869814082851</v>
      </c>
    </row>
    <row r="66" spans="5:11">
      <c r="E66" t="s">
        <v>31</v>
      </c>
      <c r="F66" s="15">
        <v>195.8</v>
      </c>
      <c r="G66" s="15">
        <v>1514.5</v>
      </c>
      <c r="I66" t="s">
        <v>31</v>
      </c>
      <c r="J66" s="15">
        <v>948.01356692572131</v>
      </c>
      <c r="K66">
        <v>988.95636023964244</v>
      </c>
    </row>
    <row r="67" spans="5:11">
      <c r="E67" t="s">
        <v>32</v>
      </c>
      <c r="F67" s="15">
        <v>295.60000000000002</v>
      </c>
      <c r="G67" s="15">
        <v>3577</v>
      </c>
      <c r="I67" t="s">
        <v>32</v>
      </c>
      <c r="J67" s="15">
        <v>787.2736921378953</v>
      </c>
      <c r="K67">
        <v>792.58400497120226</v>
      </c>
    </row>
    <row r="68" spans="5:11">
      <c r="E68" t="s">
        <v>33</v>
      </c>
      <c r="F68" s="15">
        <v>161.30000000000001</v>
      </c>
      <c r="G68" s="15">
        <v>1079.9000000000001</v>
      </c>
      <c r="I68" t="s">
        <v>33</v>
      </c>
      <c r="J68" s="15">
        <v>4816.2810151369986</v>
      </c>
      <c r="K68">
        <v>4210.4038946909686</v>
      </c>
    </row>
    <row r="69" spans="5:11">
      <c r="E69" t="s">
        <v>34</v>
      </c>
      <c r="F69" s="15">
        <v>696.5</v>
      </c>
      <c r="G69" s="15">
        <v>3079.9</v>
      </c>
      <c r="I69" t="s">
        <v>34</v>
      </c>
      <c r="J69" s="15">
        <v>745.6306891849905</v>
      </c>
      <c r="K69">
        <v>712.09119394994798</v>
      </c>
    </row>
    <row r="70" spans="5:11">
      <c r="E70" t="s">
        <v>35</v>
      </c>
      <c r="F70" s="15">
        <v>585.20000000000005</v>
      </c>
      <c r="G70" s="15">
        <v>4227.3</v>
      </c>
      <c r="I70" t="s">
        <v>35</v>
      </c>
      <c r="J70" s="15">
        <v>883.9463565811169</v>
      </c>
      <c r="K70">
        <v>822.5052168801684</v>
      </c>
    </row>
    <row r="71" spans="5:11">
      <c r="E71" t="s">
        <v>36</v>
      </c>
      <c r="F71" s="15">
        <v>201.6</v>
      </c>
      <c r="G71" s="15">
        <v>2891.7</v>
      </c>
      <c r="I71" t="s">
        <v>36</v>
      </c>
      <c r="J71" s="15">
        <v>633.91199083108768</v>
      </c>
      <c r="K71">
        <v>702.94077492912788</v>
      </c>
    </row>
    <row r="72" spans="5:11">
      <c r="E72" t="s">
        <v>37</v>
      </c>
      <c r="F72" s="15">
        <v>77.3</v>
      </c>
      <c r="G72" s="15">
        <v>917.9</v>
      </c>
      <c r="I72" t="s">
        <v>37</v>
      </c>
      <c r="J72" s="15">
        <v>1112.5671474502119</v>
      </c>
      <c r="K72">
        <v>1107.2523362362781</v>
      </c>
    </row>
    <row r="73" spans="5:11">
      <c r="E73" t="s">
        <v>39</v>
      </c>
      <c r="F73" s="15">
        <v>56.2</v>
      </c>
      <c r="G73" s="15">
        <v>3066</v>
      </c>
      <c r="I73" t="s">
        <v>39</v>
      </c>
      <c r="J73" s="15">
        <v>1972.3034240083095</v>
      </c>
      <c r="K73">
        <v>1779.5754073881708</v>
      </c>
    </row>
    <row r="74" spans="5:11">
      <c r="E74" t="s">
        <v>38</v>
      </c>
      <c r="F74" s="15">
        <v>321.8</v>
      </c>
      <c r="G74" s="15">
        <v>4079.5</v>
      </c>
      <c r="I74" t="s">
        <v>38</v>
      </c>
      <c r="J74" s="15">
        <v>810.18756759174437</v>
      </c>
      <c r="K74">
        <v>786.74263700887991</v>
      </c>
    </row>
    <row r="75" spans="5:11">
      <c r="E75" t="s">
        <v>40</v>
      </c>
      <c r="F75" s="15">
        <v>153.1</v>
      </c>
      <c r="G75" s="15">
        <v>2002.8</v>
      </c>
      <c r="I75" t="s">
        <v>40</v>
      </c>
      <c r="J75" s="15">
        <v>823.90626203883278</v>
      </c>
      <c r="K75">
        <v>854.67454568343658</v>
      </c>
    </row>
    <row r="76" spans="5:11">
      <c r="E76" t="s">
        <v>41</v>
      </c>
      <c r="F76" s="15">
        <v>3058.4</v>
      </c>
      <c r="G76" s="15">
        <v>3058.4</v>
      </c>
      <c r="I76" t="s">
        <v>41</v>
      </c>
      <c r="J76" s="15">
        <v>3323.1330107245617</v>
      </c>
      <c r="K76">
        <v>3323.1327472903467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L102"/>
  <sheetViews>
    <sheetView topLeftCell="A31" zoomScale="70" zoomScaleNormal="70" workbookViewId="0">
      <selection activeCell="U63" sqref="U63:U77"/>
    </sheetView>
  </sheetViews>
  <sheetFormatPr defaultColWidth="11.42578125" defaultRowHeight="15"/>
  <cols>
    <col min="2" max="2" width="19.140625" customWidth="1"/>
    <col min="4" max="4" width="9.5703125" customWidth="1"/>
    <col min="8" max="8" width="12.140625" customWidth="1"/>
    <col min="13" max="13" width="20.140625" customWidth="1"/>
    <col min="49" max="49" width="16.28515625" customWidth="1"/>
  </cols>
  <sheetData>
    <row r="1" spans="2:41">
      <c r="C1" s="18" t="s">
        <v>73</v>
      </c>
      <c r="D1" s="18" t="s">
        <v>73</v>
      </c>
      <c r="E1" s="18" t="s">
        <v>73</v>
      </c>
      <c r="F1" s="18" t="s">
        <v>73</v>
      </c>
      <c r="G1" s="18" t="s">
        <v>73</v>
      </c>
      <c r="H1" s="18" t="s">
        <v>73</v>
      </c>
      <c r="I1" s="18" t="s">
        <v>73</v>
      </c>
      <c r="J1" s="18" t="s">
        <v>73</v>
      </c>
    </row>
    <row r="2" spans="2:41">
      <c r="B2" s="18" t="s">
        <v>81</v>
      </c>
      <c r="C2" s="24">
        <v>2017</v>
      </c>
      <c r="D2" s="24">
        <v>2018</v>
      </c>
      <c r="E2" s="24">
        <v>2019</v>
      </c>
      <c r="F2" s="24">
        <v>2020</v>
      </c>
      <c r="G2" s="24">
        <v>2021</v>
      </c>
      <c r="H2" s="24">
        <v>2022</v>
      </c>
      <c r="I2" s="24">
        <v>2023</v>
      </c>
      <c r="J2" s="24">
        <v>2024</v>
      </c>
      <c r="M2" s="22" t="s">
        <v>85</v>
      </c>
      <c r="AG2" t="s">
        <v>95</v>
      </c>
    </row>
    <row r="3" spans="2:41">
      <c r="B3" s="7" t="s">
        <v>3</v>
      </c>
      <c r="C3" s="25">
        <v>10243</v>
      </c>
      <c r="D3" s="25">
        <v>15622.6</v>
      </c>
      <c r="E3" s="25">
        <v>19557</v>
      </c>
      <c r="F3" s="25">
        <v>21661.9</v>
      </c>
      <c r="G3" s="25">
        <v>25681.8</v>
      </c>
      <c r="H3" s="25">
        <v>35541.599999999999</v>
      </c>
      <c r="I3" s="25">
        <v>39166.199999999997</v>
      </c>
      <c r="J3" s="25">
        <v>45658.5</v>
      </c>
      <c r="M3" s="18" t="s">
        <v>82</v>
      </c>
      <c r="N3" s="18">
        <v>2017</v>
      </c>
      <c r="O3" s="18">
        <v>2018</v>
      </c>
      <c r="P3" s="18">
        <v>2019</v>
      </c>
      <c r="Q3" s="18">
        <v>2020</v>
      </c>
      <c r="R3" s="18">
        <v>2021</v>
      </c>
      <c r="S3" s="18">
        <v>2022</v>
      </c>
      <c r="T3" s="18">
        <v>2023</v>
      </c>
      <c r="U3" s="18">
        <v>2024</v>
      </c>
      <c r="W3" s="22" t="s">
        <v>92</v>
      </c>
      <c r="X3" s="22" t="s">
        <v>91</v>
      </c>
      <c r="Y3" s="22" t="s">
        <v>90</v>
      </c>
      <c r="Z3" s="22" t="s">
        <v>89</v>
      </c>
      <c r="AA3" s="22" t="s">
        <v>88</v>
      </c>
      <c r="AB3" s="22" t="s">
        <v>87</v>
      </c>
      <c r="AC3" s="22" t="s">
        <v>93</v>
      </c>
      <c r="AG3" s="22" t="s">
        <v>94</v>
      </c>
      <c r="AH3" s="18">
        <v>2017</v>
      </c>
      <c r="AI3" s="18">
        <v>2018</v>
      </c>
      <c r="AJ3" s="18">
        <v>2019</v>
      </c>
      <c r="AK3" s="18">
        <v>2020</v>
      </c>
      <c r="AL3" s="18">
        <v>2021</v>
      </c>
      <c r="AM3" s="18">
        <v>2022</v>
      </c>
      <c r="AN3" s="18">
        <v>2023</v>
      </c>
      <c r="AO3" s="18">
        <v>2024</v>
      </c>
    </row>
    <row r="4" spans="2:41">
      <c r="B4" s="7" t="s">
        <v>4</v>
      </c>
      <c r="C4" s="25">
        <v>19206</v>
      </c>
      <c r="D4" s="25">
        <v>27017.7</v>
      </c>
      <c r="E4" s="25">
        <v>33581.300000000003</v>
      </c>
      <c r="F4" s="25">
        <v>38008.5</v>
      </c>
      <c r="G4" s="25">
        <v>43332.5</v>
      </c>
      <c r="H4" s="25">
        <v>62981.4</v>
      </c>
      <c r="I4" s="25">
        <v>77337.899999999994</v>
      </c>
      <c r="J4" s="25">
        <v>90522.1</v>
      </c>
      <c r="M4" s="7" t="s">
        <v>3</v>
      </c>
      <c r="N4">
        <v>15.2</v>
      </c>
      <c r="O4">
        <v>27.8</v>
      </c>
      <c r="P4">
        <v>28.1</v>
      </c>
      <c r="Q4">
        <v>29.6</v>
      </c>
      <c r="R4">
        <v>29.4</v>
      </c>
      <c r="S4">
        <v>24.9</v>
      </c>
      <c r="T4">
        <v>25.2</v>
      </c>
      <c r="U4">
        <v>23.5</v>
      </c>
      <c r="W4" s="15">
        <f>AVERAGE(N4:P4)</f>
        <v>23.7</v>
      </c>
      <c r="X4" s="15">
        <f>AVERAGE(O4:Q4)</f>
        <v>28.5</v>
      </c>
      <c r="Y4" s="15">
        <f t="shared" ref="Y4:AB4" si="0">AVERAGE(P4:R4)</f>
        <v>29.033333333333331</v>
      </c>
      <c r="Z4" s="15">
        <f t="shared" si="0"/>
        <v>27.966666666666669</v>
      </c>
      <c r="AA4" s="15">
        <f t="shared" si="0"/>
        <v>26.5</v>
      </c>
      <c r="AB4" s="15">
        <f t="shared" si="0"/>
        <v>24.533333333333331</v>
      </c>
      <c r="AC4" s="7">
        <f>LINEST(W4:AB4)</f>
        <v>-8.285714285714274E-2</v>
      </c>
      <c r="AD4" s="7">
        <f>U4/AVERAGE(N4:U4)</f>
        <v>0.92292587137947968</v>
      </c>
      <c r="AE4" s="7"/>
      <c r="AF4" s="7"/>
      <c r="AG4" s="7" t="s">
        <v>3</v>
      </c>
      <c r="AH4">
        <v>1233355.5</v>
      </c>
      <c r="AI4">
        <v>1503568</v>
      </c>
      <c r="AJ4">
        <v>1851523.7</v>
      </c>
      <c r="AK4">
        <v>2059642.5</v>
      </c>
      <c r="AL4">
        <v>2378721.9</v>
      </c>
      <c r="AM4">
        <v>2787221.6</v>
      </c>
      <c r="AN4">
        <v>3264159.2</v>
      </c>
      <c r="AO4">
        <v>3672209.9</v>
      </c>
    </row>
    <row r="5" spans="2:41">
      <c r="B5" s="7" t="s">
        <v>5</v>
      </c>
      <c r="C5" s="25">
        <v>16504.3</v>
      </c>
      <c r="D5" s="25">
        <v>21817.4</v>
      </c>
      <c r="E5" s="25">
        <v>27963.200000000001</v>
      </c>
      <c r="F5" s="25">
        <v>31334.2</v>
      </c>
      <c r="G5" s="25">
        <v>38350.1</v>
      </c>
      <c r="H5" s="25">
        <v>51728</v>
      </c>
      <c r="I5" s="25">
        <v>61242.6</v>
      </c>
      <c r="J5" s="25">
        <v>71560.399999999994</v>
      </c>
      <c r="M5" s="7" t="s">
        <v>4</v>
      </c>
      <c r="N5">
        <v>33.4</v>
      </c>
      <c r="O5">
        <v>44.7</v>
      </c>
      <c r="P5">
        <v>43.2</v>
      </c>
      <c r="Q5">
        <v>42.7</v>
      </c>
      <c r="R5">
        <v>43.3</v>
      </c>
      <c r="S5">
        <v>35.700000000000003</v>
      </c>
      <c r="T5">
        <v>33.299999999999997</v>
      </c>
      <c r="U5">
        <v>31</v>
      </c>
      <c r="W5" s="15">
        <f t="shared" ref="W5:W17" si="1">AVERAGE(N5:P5)</f>
        <v>40.43333333333333</v>
      </c>
      <c r="X5" s="15">
        <f t="shared" ref="X5:X17" si="2">AVERAGE(O5:Q5)</f>
        <v>43.533333333333339</v>
      </c>
      <c r="Y5" s="15">
        <f t="shared" ref="Y5:Y17" si="3">AVERAGE(P5:R5)</f>
        <v>43.066666666666663</v>
      </c>
      <c r="Z5" s="15">
        <f t="shared" ref="Z5:Z17" si="4">AVERAGE(Q5:S5)</f>
        <v>40.56666666666667</v>
      </c>
      <c r="AA5" s="15">
        <f t="shared" ref="AA5:AA17" si="5">AVERAGE(R5:T5)</f>
        <v>37.43333333333333</v>
      </c>
      <c r="AB5" s="15">
        <f t="shared" ref="AB5:AB17" si="6">AVERAGE(S5:U5)</f>
        <v>33.333333333333336</v>
      </c>
      <c r="AC5" s="7">
        <f t="shared" ref="AC5:AC16" si="7">LINEST(W5:AB5)</f>
        <v>-1.6085714285714281</v>
      </c>
      <c r="AD5" s="7">
        <f t="shared" ref="AD5:AD16" si="8">U5/AVERAGE(N5:U5)</f>
        <v>0.80702896192645623</v>
      </c>
      <c r="AE5" s="7"/>
      <c r="AF5" s="7"/>
      <c r="AG5" s="7" t="s">
        <v>4</v>
      </c>
      <c r="AH5">
        <v>1094735.8</v>
      </c>
      <c r="AI5">
        <v>1346138.2</v>
      </c>
      <c r="AJ5">
        <v>1692686.8</v>
      </c>
      <c r="AK5">
        <v>1939862.6</v>
      </c>
      <c r="AL5">
        <v>2248201.4</v>
      </c>
      <c r="AM5">
        <v>2804453.9</v>
      </c>
      <c r="AN5">
        <v>3260316.1</v>
      </c>
      <c r="AO5">
        <v>3782162.9</v>
      </c>
    </row>
    <row r="6" spans="2:41">
      <c r="B6" s="7" t="s">
        <v>6</v>
      </c>
      <c r="C6" s="25">
        <v>9148.1</v>
      </c>
      <c r="D6" s="25">
        <v>12715.6</v>
      </c>
      <c r="E6" s="25">
        <v>16056.1</v>
      </c>
      <c r="F6" s="25">
        <v>18441.7</v>
      </c>
      <c r="G6" s="25">
        <v>23274.3</v>
      </c>
      <c r="H6" s="25">
        <v>30367</v>
      </c>
      <c r="I6" s="25">
        <v>37383.199999999997</v>
      </c>
      <c r="J6" s="25">
        <v>43057.9</v>
      </c>
      <c r="M6" s="7" t="s">
        <v>5</v>
      </c>
      <c r="N6">
        <v>31</v>
      </c>
      <c r="O6">
        <v>48.7</v>
      </c>
      <c r="P6">
        <v>43.2</v>
      </c>
      <c r="Q6">
        <v>46.2</v>
      </c>
      <c r="R6">
        <v>45.5</v>
      </c>
      <c r="S6">
        <v>39.1</v>
      </c>
      <c r="T6">
        <v>37.4</v>
      </c>
      <c r="U6">
        <v>35</v>
      </c>
      <c r="W6" s="15">
        <f t="shared" si="1"/>
        <v>40.966666666666669</v>
      </c>
      <c r="X6" s="15">
        <f t="shared" si="2"/>
        <v>46.033333333333339</v>
      </c>
      <c r="Y6" s="15">
        <f t="shared" si="3"/>
        <v>44.966666666666669</v>
      </c>
      <c r="Z6" s="15">
        <f t="shared" si="4"/>
        <v>43.6</v>
      </c>
      <c r="AA6" s="15">
        <f t="shared" si="5"/>
        <v>40.666666666666664</v>
      </c>
      <c r="AB6" s="15">
        <f t="shared" si="6"/>
        <v>37.166666666666664</v>
      </c>
      <c r="AC6" s="7">
        <f t="shared" si="7"/>
        <v>-1.0419047619047634</v>
      </c>
      <c r="AD6" s="7">
        <f t="shared" si="8"/>
        <v>0.85863232137381162</v>
      </c>
      <c r="AE6" s="7"/>
      <c r="AF6" s="7"/>
      <c r="AG6" s="7" t="s">
        <v>5</v>
      </c>
      <c r="AH6">
        <v>1232198.6000000001</v>
      </c>
      <c r="AI6">
        <v>1460640.6</v>
      </c>
      <c r="AJ6">
        <v>1775484.9</v>
      </c>
      <c r="AK6">
        <v>2100782.7000000002</v>
      </c>
      <c r="AL6">
        <v>2327166.7000000002</v>
      </c>
      <c r="AM6">
        <v>2731194.1</v>
      </c>
      <c r="AN6">
        <v>3167804.7</v>
      </c>
      <c r="AO6">
        <v>3552960.4</v>
      </c>
    </row>
    <row r="7" spans="2:41">
      <c r="B7" s="7" t="s">
        <v>7</v>
      </c>
      <c r="C7" s="25">
        <v>22633.4</v>
      </c>
      <c r="D7" s="25">
        <v>26438.9</v>
      </c>
      <c r="E7" s="25">
        <v>32223</v>
      </c>
      <c r="F7" s="25">
        <v>35351.5</v>
      </c>
      <c r="G7" s="25">
        <v>42560.2</v>
      </c>
      <c r="H7" s="25">
        <v>57629.1</v>
      </c>
      <c r="I7" s="25">
        <v>68648.600000000006</v>
      </c>
      <c r="J7" s="25">
        <v>80658.3</v>
      </c>
      <c r="M7" s="7" t="s">
        <v>6</v>
      </c>
      <c r="N7">
        <v>35.200000000000003</v>
      </c>
      <c r="O7">
        <v>55.7</v>
      </c>
      <c r="P7">
        <v>53.2</v>
      </c>
      <c r="Q7">
        <v>53.8</v>
      </c>
      <c r="R7">
        <v>53.5</v>
      </c>
      <c r="S7">
        <v>47</v>
      </c>
      <c r="T7">
        <v>43.3</v>
      </c>
      <c r="U7">
        <v>40.5</v>
      </c>
      <c r="W7" s="15">
        <f t="shared" si="1"/>
        <v>48.033333333333339</v>
      </c>
      <c r="X7" s="15">
        <f t="shared" si="2"/>
        <v>54.233333333333327</v>
      </c>
      <c r="Y7" s="15">
        <f t="shared" si="3"/>
        <v>53.5</v>
      </c>
      <c r="Z7" s="15">
        <f t="shared" si="4"/>
        <v>51.433333333333337</v>
      </c>
      <c r="AA7" s="15">
        <f t="shared" si="5"/>
        <v>47.933333333333337</v>
      </c>
      <c r="AB7" s="15">
        <f t="shared" si="6"/>
        <v>43.6</v>
      </c>
      <c r="AC7" s="7">
        <f t="shared" si="7"/>
        <v>-1.2323809523809524</v>
      </c>
      <c r="AD7" s="7">
        <f t="shared" si="8"/>
        <v>0.8477237048665619</v>
      </c>
      <c r="AE7" s="7"/>
      <c r="AF7" s="7"/>
      <c r="AG7" s="7" t="s">
        <v>6</v>
      </c>
      <c r="AH7">
        <v>1077894.5</v>
      </c>
      <c r="AI7">
        <v>1292839</v>
      </c>
      <c r="AJ7">
        <v>1591105.7</v>
      </c>
      <c r="AK7">
        <v>1820344.1</v>
      </c>
      <c r="AL7">
        <v>2113186.7000000002</v>
      </c>
      <c r="AM7">
        <v>2529666.9</v>
      </c>
      <c r="AN7">
        <v>2944351.6</v>
      </c>
      <c r="AO7">
        <v>3351251.2</v>
      </c>
    </row>
    <row r="8" spans="2:41">
      <c r="B8" s="7" t="s">
        <v>8</v>
      </c>
      <c r="C8" s="25">
        <v>14232.2</v>
      </c>
      <c r="D8" s="25">
        <v>22573.3</v>
      </c>
      <c r="E8" s="25">
        <v>36224.300000000003</v>
      </c>
      <c r="F8" s="25">
        <v>49780.4</v>
      </c>
      <c r="G8" s="25">
        <v>58730.3</v>
      </c>
      <c r="H8" s="25">
        <v>71994.100000000006</v>
      </c>
      <c r="I8" s="25">
        <v>88215.4</v>
      </c>
      <c r="J8" s="25">
        <v>117297.8</v>
      </c>
      <c r="M8" s="7" t="s">
        <v>7</v>
      </c>
      <c r="N8">
        <v>22.6</v>
      </c>
      <c r="O8">
        <v>42.7</v>
      </c>
      <c r="P8">
        <v>41.1</v>
      </c>
      <c r="Q8">
        <v>42.4</v>
      </c>
      <c r="R8">
        <v>42.1</v>
      </c>
      <c r="S8">
        <v>35.5</v>
      </c>
      <c r="T8">
        <v>34.6</v>
      </c>
      <c r="U8">
        <v>32.700000000000003</v>
      </c>
      <c r="W8" s="15">
        <f t="shared" si="1"/>
        <v>35.466666666666669</v>
      </c>
      <c r="X8" s="15">
        <f t="shared" si="2"/>
        <v>42.06666666666667</v>
      </c>
      <c r="Y8" s="15">
        <f t="shared" si="3"/>
        <v>41.866666666666667</v>
      </c>
      <c r="Z8" s="15">
        <f t="shared" si="4"/>
        <v>40</v>
      </c>
      <c r="AA8" s="15">
        <f t="shared" si="5"/>
        <v>37.4</v>
      </c>
      <c r="AB8" s="15">
        <f t="shared" si="6"/>
        <v>34.266666666666666</v>
      </c>
      <c r="AC8" s="7">
        <f t="shared" si="7"/>
        <v>-0.62476190476190563</v>
      </c>
      <c r="AD8" s="7">
        <f t="shared" si="8"/>
        <v>0.89070480081716052</v>
      </c>
      <c r="AE8" s="7"/>
      <c r="AF8" s="7"/>
      <c r="AG8" s="7" t="s">
        <v>7</v>
      </c>
      <c r="AH8">
        <v>1132971.7</v>
      </c>
      <c r="AI8">
        <v>1466691.6</v>
      </c>
      <c r="AJ8">
        <v>1720268.9</v>
      </c>
      <c r="AK8">
        <v>1834526.5</v>
      </c>
      <c r="AL8">
        <v>2154379.9</v>
      </c>
      <c r="AM8">
        <v>2590142.9</v>
      </c>
      <c r="AN8">
        <v>2940211.7</v>
      </c>
      <c r="AO8">
        <v>3253857.9</v>
      </c>
    </row>
    <row r="9" spans="2:41">
      <c r="B9" s="7" t="s">
        <v>9</v>
      </c>
      <c r="C9" s="25">
        <v>14501.2</v>
      </c>
      <c r="D9" s="25">
        <v>18809.599999999999</v>
      </c>
      <c r="E9" s="25">
        <v>23764</v>
      </c>
      <c r="F9" s="25">
        <v>27863</v>
      </c>
      <c r="G9" s="25">
        <v>41098.199999999997</v>
      </c>
      <c r="H9" s="25">
        <v>48513.7</v>
      </c>
      <c r="I9" s="25">
        <v>58173.7</v>
      </c>
      <c r="J9" s="25">
        <v>68915.7</v>
      </c>
      <c r="M9" s="7" t="s">
        <v>8</v>
      </c>
      <c r="N9">
        <v>18.5</v>
      </c>
      <c r="O9">
        <v>23.1</v>
      </c>
      <c r="P9">
        <v>16.3</v>
      </c>
      <c r="Q9">
        <v>14</v>
      </c>
      <c r="R9">
        <v>14.9</v>
      </c>
      <c r="S9">
        <v>13.2</v>
      </c>
      <c r="T9">
        <v>13</v>
      </c>
      <c r="U9">
        <v>10.7</v>
      </c>
      <c r="W9" s="15">
        <f t="shared" si="1"/>
        <v>19.3</v>
      </c>
      <c r="X9" s="15">
        <f t="shared" si="2"/>
        <v>17.8</v>
      </c>
      <c r="Y9" s="15">
        <f t="shared" si="3"/>
        <v>15.066666666666668</v>
      </c>
      <c r="Z9" s="15">
        <f t="shared" si="4"/>
        <v>14.033333333333331</v>
      </c>
      <c r="AA9" s="15">
        <f t="shared" si="5"/>
        <v>13.700000000000001</v>
      </c>
      <c r="AB9" s="15">
        <f t="shared" si="6"/>
        <v>12.299999999999999</v>
      </c>
      <c r="AC9" s="7">
        <f t="shared" si="7"/>
        <v>-1.3809523809523814</v>
      </c>
      <c r="AD9" s="7">
        <f t="shared" si="8"/>
        <v>0.69199676637025043</v>
      </c>
      <c r="AE9" s="7"/>
      <c r="AF9" s="7"/>
      <c r="AG9" s="7" t="s">
        <v>8</v>
      </c>
      <c r="AH9">
        <v>1700169.8</v>
      </c>
      <c r="AI9">
        <v>1999826.1</v>
      </c>
      <c r="AJ9">
        <v>2448655</v>
      </c>
      <c r="AK9">
        <v>2867899.1</v>
      </c>
      <c r="AL9">
        <v>3733342.4</v>
      </c>
      <c r="AM9">
        <v>4283738.2</v>
      </c>
      <c r="AN9">
        <v>5003204.7</v>
      </c>
      <c r="AO9">
        <v>5667793.2999999998</v>
      </c>
    </row>
    <row r="10" spans="2:41">
      <c r="B10" s="7" t="s">
        <v>10</v>
      </c>
      <c r="C10" s="25">
        <v>25569.8</v>
      </c>
      <c r="D10" s="25">
        <v>32681.7</v>
      </c>
      <c r="E10" s="25">
        <v>38765.9</v>
      </c>
      <c r="F10" s="25">
        <v>43023.199999999997</v>
      </c>
      <c r="G10" s="25">
        <v>52893.599999999999</v>
      </c>
      <c r="H10" s="25">
        <v>68988.600000000006</v>
      </c>
      <c r="I10" s="25">
        <v>83149.5</v>
      </c>
      <c r="J10" s="25">
        <v>99866.1</v>
      </c>
      <c r="M10" s="7" t="s">
        <v>9</v>
      </c>
      <c r="N10">
        <v>30.9</v>
      </c>
      <c r="O10">
        <v>45.5</v>
      </c>
      <c r="P10">
        <v>43.2</v>
      </c>
      <c r="Q10">
        <v>42.4</v>
      </c>
      <c r="R10">
        <v>41.4</v>
      </c>
      <c r="S10">
        <v>33.700000000000003</v>
      </c>
      <c r="T10">
        <v>32.5</v>
      </c>
      <c r="U10">
        <v>29.8</v>
      </c>
      <c r="W10" s="15">
        <f t="shared" si="1"/>
        <v>39.866666666666667</v>
      </c>
      <c r="X10" s="15">
        <f t="shared" si="2"/>
        <v>43.699999999999996</v>
      </c>
      <c r="Y10" s="15">
        <f t="shared" si="3"/>
        <v>42.333333333333336</v>
      </c>
      <c r="Z10" s="15">
        <f t="shared" si="4"/>
        <v>39.166666666666664</v>
      </c>
      <c r="AA10" s="15">
        <f t="shared" si="5"/>
        <v>35.866666666666667</v>
      </c>
      <c r="AB10" s="15">
        <f t="shared" si="6"/>
        <v>32</v>
      </c>
      <c r="AC10" s="7">
        <f t="shared" si="7"/>
        <v>-1.8857142857142859</v>
      </c>
      <c r="AD10" s="7">
        <f t="shared" si="8"/>
        <v>0.79625918503674009</v>
      </c>
      <c r="AE10" s="7"/>
      <c r="AF10" s="7"/>
      <c r="AG10" s="7" t="s">
        <v>9</v>
      </c>
      <c r="AH10">
        <v>1012332.8</v>
      </c>
      <c r="AI10">
        <v>1242822.5</v>
      </c>
      <c r="AJ10">
        <v>1560524</v>
      </c>
      <c r="AK10">
        <v>1704100</v>
      </c>
      <c r="AL10">
        <v>1987599.8</v>
      </c>
      <c r="AM10">
        <v>2540008.6</v>
      </c>
      <c r="AN10">
        <v>2786310.6</v>
      </c>
      <c r="AO10">
        <v>3170482.6</v>
      </c>
    </row>
    <row r="11" spans="2:41">
      <c r="B11" s="7" t="s">
        <v>11</v>
      </c>
      <c r="C11" s="25">
        <v>13702.2</v>
      </c>
      <c r="D11" s="25">
        <v>18592.5</v>
      </c>
      <c r="E11" s="25">
        <v>22288.1</v>
      </c>
      <c r="F11" s="25">
        <v>24625.599999999999</v>
      </c>
      <c r="G11" s="25">
        <v>29693.200000000001</v>
      </c>
      <c r="H11" s="25">
        <v>39201.800000000003</v>
      </c>
      <c r="I11" s="25">
        <v>46999.199999999997</v>
      </c>
      <c r="J11" s="25">
        <v>54354.1</v>
      </c>
      <c r="M11" s="7" t="s">
        <v>10</v>
      </c>
      <c r="N11">
        <v>32.200000000000003</v>
      </c>
      <c r="O11">
        <v>47.6</v>
      </c>
      <c r="P11">
        <v>44.8</v>
      </c>
      <c r="Q11">
        <v>45.7</v>
      </c>
      <c r="R11">
        <v>43.8</v>
      </c>
      <c r="S11">
        <v>35.1</v>
      </c>
      <c r="T11">
        <v>34.700000000000003</v>
      </c>
      <c r="U11">
        <v>32.5</v>
      </c>
      <c r="W11" s="15">
        <f t="shared" si="1"/>
        <v>41.533333333333339</v>
      </c>
      <c r="X11" s="15">
        <f t="shared" si="2"/>
        <v>46.033333333333339</v>
      </c>
      <c r="Y11" s="15">
        <f t="shared" si="3"/>
        <v>44.766666666666673</v>
      </c>
      <c r="Z11" s="15">
        <f t="shared" si="4"/>
        <v>41.533333333333331</v>
      </c>
      <c r="AA11" s="15">
        <f t="shared" si="5"/>
        <v>37.866666666666667</v>
      </c>
      <c r="AB11" s="15">
        <f t="shared" si="6"/>
        <v>34.1</v>
      </c>
      <c r="AC11" s="7">
        <f t="shared" si="7"/>
        <v>-1.854285714285715</v>
      </c>
      <c r="AD11" s="7">
        <f t="shared" si="8"/>
        <v>0.82174462705436147</v>
      </c>
      <c r="AE11" s="7"/>
      <c r="AF11" s="7"/>
      <c r="AG11" s="7" t="s">
        <v>10</v>
      </c>
      <c r="AH11">
        <v>994118.7</v>
      </c>
      <c r="AI11">
        <v>1227256.8</v>
      </c>
      <c r="AJ11">
        <v>1557301.6</v>
      </c>
      <c r="AK11">
        <v>1733821.7</v>
      </c>
      <c r="AL11">
        <v>2015109.2</v>
      </c>
      <c r="AM11">
        <v>2450813.1</v>
      </c>
      <c r="AN11">
        <v>2853458.5</v>
      </c>
      <c r="AO11">
        <v>3323198.6</v>
      </c>
    </row>
    <row r="12" spans="2:41">
      <c r="B12" s="7" t="s">
        <v>12</v>
      </c>
      <c r="C12" s="25">
        <v>6432.2</v>
      </c>
      <c r="D12" s="25">
        <v>8532.7000000000007</v>
      </c>
      <c r="E12" s="25">
        <v>11865.2</v>
      </c>
      <c r="F12" s="25">
        <v>12803.8</v>
      </c>
      <c r="G12" s="25">
        <v>15071.5</v>
      </c>
      <c r="H12" s="25">
        <v>20155.599999999999</v>
      </c>
      <c r="I12" s="25">
        <v>24001.7</v>
      </c>
      <c r="J12" s="25">
        <v>28003.3</v>
      </c>
      <c r="M12" s="7" t="s">
        <v>11</v>
      </c>
      <c r="N12">
        <v>40.299999999999997</v>
      </c>
      <c r="O12">
        <v>50.8</v>
      </c>
      <c r="P12">
        <v>49.9</v>
      </c>
      <c r="Q12">
        <v>48.5</v>
      </c>
      <c r="R12">
        <v>47.6</v>
      </c>
      <c r="S12">
        <v>41.6</v>
      </c>
      <c r="T12">
        <v>41.6</v>
      </c>
      <c r="U12">
        <v>39.1</v>
      </c>
      <c r="W12" s="15">
        <f t="shared" si="1"/>
        <v>47</v>
      </c>
      <c r="X12" s="15">
        <f t="shared" si="2"/>
        <v>49.733333333333327</v>
      </c>
      <c r="Y12" s="15">
        <f t="shared" si="3"/>
        <v>48.666666666666664</v>
      </c>
      <c r="Z12" s="15">
        <f t="shared" si="4"/>
        <v>45.9</v>
      </c>
      <c r="AA12" s="15">
        <f t="shared" si="5"/>
        <v>43.6</v>
      </c>
      <c r="AB12" s="15">
        <f t="shared" si="6"/>
        <v>40.766666666666673</v>
      </c>
      <c r="AC12" s="7">
        <f t="shared" si="7"/>
        <v>-1.4952380952380935</v>
      </c>
      <c r="AD12" s="7">
        <f t="shared" si="8"/>
        <v>0.8703394546466332</v>
      </c>
      <c r="AE12" s="7"/>
      <c r="AF12" s="7"/>
      <c r="AG12" s="7" t="s">
        <v>11</v>
      </c>
      <c r="AH12">
        <v>1062994.8999999999</v>
      </c>
      <c r="AI12">
        <v>1301261.8</v>
      </c>
      <c r="AJ12">
        <v>1609691.4</v>
      </c>
      <c r="AK12">
        <v>1825793</v>
      </c>
      <c r="AL12">
        <v>2082977.2</v>
      </c>
      <c r="AM12">
        <v>2530158.6</v>
      </c>
      <c r="AN12">
        <v>2958415</v>
      </c>
      <c r="AO12">
        <v>3262897.1</v>
      </c>
    </row>
    <row r="13" spans="2:41">
      <c r="B13" s="7" t="s">
        <v>13</v>
      </c>
      <c r="C13" s="25">
        <v>27847.599999999999</v>
      </c>
      <c r="D13" s="25">
        <v>39989.9</v>
      </c>
      <c r="E13" s="25">
        <v>54759.3</v>
      </c>
      <c r="F13" s="25">
        <v>64407.6</v>
      </c>
      <c r="G13" s="25">
        <v>82221.8</v>
      </c>
      <c r="H13" s="25">
        <v>103244.8</v>
      </c>
      <c r="I13" s="25">
        <v>121442.6</v>
      </c>
      <c r="J13" s="25">
        <v>146385.20000000001</v>
      </c>
      <c r="M13" s="7" t="s">
        <v>12</v>
      </c>
      <c r="N13">
        <v>36.9</v>
      </c>
      <c r="O13">
        <v>43.4</v>
      </c>
      <c r="P13">
        <v>41.1</v>
      </c>
      <c r="Q13">
        <v>39.799999999999997</v>
      </c>
      <c r="R13">
        <v>40.299999999999997</v>
      </c>
      <c r="S13">
        <v>36.4</v>
      </c>
      <c r="T13">
        <v>34.4</v>
      </c>
      <c r="U13">
        <v>32.6</v>
      </c>
      <c r="W13" s="15">
        <f t="shared" si="1"/>
        <v>40.466666666666669</v>
      </c>
      <c r="X13" s="15">
        <f t="shared" si="2"/>
        <v>41.43333333333333</v>
      </c>
      <c r="Y13" s="15">
        <f t="shared" si="3"/>
        <v>40.4</v>
      </c>
      <c r="Z13" s="15">
        <f t="shared" si="4"/>
        <v>38.833333333333336</v>
      </c>
      <c r="AA13" s="15">
        <f t="shared" si="5"/>
        <v>37.033333333333331</v>
      </c>
      <c r="AB13" s="15">
        <f t="shared" si="6"/>
        <v>34.466666666666669</v>
      </c>
      <c r="AC13" s="7">
        <f t="shared" si="7"/>
        <v>-1.2790476190476188</v>
      </c>
      <c r="AD13" s="7">
        <f t="shared" si="8"/>
        <v>0.85536241390619872</v>
      </c>
      <c r="AE13" s="7"/>
      <c r="AF13" s="7"/>
      <c r="AG13" s="7" t="s">
        <v>12</v>
      </c>
      <c r="AH13">
        <v>1161054.3999999999</v>
      </c>
      <c r="AI13">
        <v>1372579.6</v>
      </c>
      <c r="AJ13">
        <v>1724236.7</v>
      </c>
      <c r="AK13">
        <v>1949748.6</v>
      </c>
      <c r="AL13">
        <v>2265301.7000000002</v>
      </c>
      <c r="AM13">
        <v>2656512.4</v>
      </c>
      <c r="AN13">
        <v>3058493.4</v>
      </c>
      <c r="AO13">
        <v>3543083.1</v>
      </c>
    </row>
    <row r="14" spans="2:41">
      <c r="B14" s="7" t="s">
        <v>14</v>
      </c>
      <c r="C14" s="25">
        <v>19837.5</v>
      </c>
      <c r="D14" s="25">
        <v>27523.9</v>
      </c>
      <c r="E14" s="25">
        <v>32520.799999999999</v>
      </c>
      <c r="F14" s="25">
        <v>37216.199999999997</v>
      </c>
      <c r="G14" s="25">
        <v>47760.5</v>
      </c>
      <c r="H14" s="25">
        <v>65516.9</v>
      </c>
      <c r="I14" s="25">
        <v>78009</v>
      </c>
      <c r="J14" s="25">
        <v>91333</v>
      </c>
      <c r="M14" s="7" t="s">
        <v>13</v>
      </c>
      <c r="N14">
        <v>23.1</v>
      </c>
      <c r="O14">
        <v>29.2</v>
      </c>
      <c r="P14">
        <v>24.3</v>
      </c>
      <c r="Q14">
        <v>23.5</v>
      </c>
      <c r="R14">
        <v>22.5</v>
      </c>
      <c r="S14">
        <v>20.100000000000001</v>
      </c>
      <c r="T14">
        <v>19.8</v>
      </c>
      <c r="U14">
        <v>17.7</v>
      </c>
      <c r="W14" s="15">
        <f t="shared" si="1"/>
        <v>25.533333333333331</v>
      </c>
      <c r="X14" s="15">
        <f t="shared" si="2"/>
        <v>25.666666666666668</v>
      </c>
      <c r="Y14" s="15">
        <f t="shared" si="3"/>
        <v>23.433333333333334</v>
      </c>
      <c r="Z14" s="15">
        <f t="shared" si="4"/>
        <v>22.033333333333331</v>
      </c>
      <c r="AA14" s="15">
        <f t="shared" si="5"/>
        <v>20.8</v>
      </c>
      <c r="AB14" s="15">
        <f t="shared" si="6"/>
        <v>19.200000000000003</v>
      </c>
      <c r="AC14" s="7">
        <f t="shared" si="7"/>
        <v>-1.3619047619047615</v>
      </c>
      <c r="AD14" s="7">
        <f t="shared" si="8"/>
        <v>0.78579356270810208</v>
      </c>
      <c r="AE14" s="7"/>
      <c r="AF14" s="7"/>
      <c r="AG14" s="7" t="s">
        <v>13</v>
      </c>
      <c r="AH14">
        <v>1357442.7</v>
      </c>
      <c r="AI14">
        <v>1706179.5</v>
      </c>
      <c r="AJ14">
        <v>2066556</v>
      </c>
      <c r="AK14">
        <v>2280326.7000000002</v>
      </c>
      <c r="AL14">
        <v>2789225.2</v>
      </c>
      <c r="AM14">
        <v>3207582.4</v>
      </c>
      <c r="AN14">
        <v>3673115.7</v>
      </c>
      <c r="AO14">
        <v>4034365.2</v>
      </c>
    </row>
    <row r="15" spans="2:41">
      <c r="B15" s="7" t="s">
        <v>15</v>
      </c>
      <c r="C15" s="25">
        <v>11457.2</v>
      </c>
      <c r="D15" s="25">
        <v>15900.1</v>
      </c>
      <c r="E15" s="25">
        <v>19129.099999999999</v>
      </c>
      <c r="F15" s="25">
        <v>21315.4</v>
      </c>
      <c r="G15" s="25">
        <v>26464.3</v>
      </c>
      <c r="H15" s="25">
        <v>37437.300000000003</v>
      </c>
      <c r="I15" s="25">
        <v>43666.7</v>
      </c>
      <c r="J15" s="25">
        <v>51261</v>
      </c>
      <c r="M15" s="7" t="s">
        <v>14</v>
      </c>
      <c r="N15">
        <v>23.4</v>
      </c>
      <c r="O15">
        <v>39.1</v>
      </c>
      <c r="P15">
        <v>35.200000000000003</v>
      </c>
      <c r="Q15">
        <v>34.9</v>
      </c>
      <c r="R15">
        <v>35</v>
      </c>
      <c r="S15">
        <v>30.5</v>
      </c>
      <c r="T15">
        <v>29.7</v>
      </c>
      <c r="U15">
        <v>28.2</v>
      </c>
      <c r="W15" s="15">
        <f t="shared" si="1"/>
        <v>32.56666666666667</v>
      </c>
      <c r="X15" s="15">
        <f t="shared" si="2"/>
        <v>36.400000000000006</v>
      </c>
      <c r="Y15" s="15">
        <f t="shared" si="3"/>
        <v>35.033333333333331</v>
      </c>
      <c r="Z15" s="15">
        <f t="shared" si="4"/>
        <v>33.466666666666669</v>
      </c>
      <c r="AA15" s="15">
        <f t="shared" si="5"/>
        <v>31.733333333333334</v>
      </c>
      <c r="AB15" s="15">
        <f t="shared" si="6"/>
        <v>29.466666666666669</v>
      </c>
      <c r="AC15" s="7">
        <f t="shared" si="7"/>
        <v>-0.88761904761904808</v>
      </c>
      <c r="AD15" s="7">
        <f t="shared" si="8"/>
        <v>0.88125000000000009</v>
      </c>
      <c r="AE15" s="7"/>
      <c r="AF15" s="7"/>
      <c r="AG15" s="7" t="s">
        <v>14</v>
      </c>
      <c r="AH15">
        <v>1044192.2</v>
      </c>
      <c r="AI15">
        <v>1262705.3</v>
      </c>
      <c r="AJ15">
        <v>1605046.7</v>
      </c>
      <c r="AK15">
        <v>1781821</v>
      </c>
      <c r="AL15">
        <v>2054570.7</v>
      </c>
      <c r="AM15">
        <v>2538459.1</v>
      </c>
      <c r="AN15">
        <v>2853148.9</v>
      </c>
      <c r="AO15">
        <v>3226076.1</v>
      </c>
    </row>
    <row r="16" spans="2:41">
      <c r="B16" s="7" t="s">
        <v>16</v>
      </c>
      <c r="C16" s="25">
        <v>40720.400000000001</v>
      </c>
      <c r="D16" s="25">
        <v>63509.2</v>
      </c>
      <c r="E16" s="25">
        <v>84720.4</v>
      </c>
      <c r="F16" s="25">
        <v>95247.8</v>
      </c>
      <c r="G16" s="25">
        <v>121779.8</v>
      </c>
      <c r="H16" s="25">
        <v>172469.3</v>
      </c>
      <c r="I16" s="25">
        <v>215099.2</v>
      </c>
      <c r="J16" s="25">
        <v>281147.40000000002</v>
      </c>
      <c r="M16" s="7" t="s">
        <v>15</v>
      </c>
      <c r="N16">
        <v>30.4</v>
      </c>
      <c r="O16">
        <v>48.4</v>
      </c>
      <c r="P16">
        <v>46</v>
      </c>
      <c r="Q16">
        <v>47.3</v>
      </c>
      <c r="R16">
        <v>46.1</v>
      </c>
      <c r="S16">
        <v>39.4</v>
      </c>
      <c r="T16">
        <v>37.799999999999997</v>
      </c>
      <c r="U16">
        <v>34.799999999999997</v>
      </c>
      <c r="W16" s="15">
        <f t="shared" si="1"/>
        <v>41.6</v>
      </c>
      <c r="X16" s="15">
        <f t="shared" si="2"/>
        <v>47.233333333333327</v>
      </c>
      <c r="Y16" s="15">
        <f t="shared" si="3"/>
        <v>46.466666666666669</v>
      </c>
      <c r="Z16" s="15">
        <f t="shared" si="4"/>
        <v>44.266666666666673</v>
      </c>
      <c r="AA16" s="15">
        <f t="shared" si="5"/>
        <v>41.1</v>
      </c>
      <c r="AB16" s="15">
        <f t="shared" si="6"/>
        <v>37.333333333333329</v>
      </c>
      <c r="AC16" s="7">
        <f t="shared" si="7"/>
        <v>-1.1980952380952383</v>
      </c>
      <c r="AD16" s="7">
        <f t="shared" si="8"/>
        <v>0.84312537855844938</v>
      </c>
      <c r="AE16" s="7"/>
      <c r="AF16" s="7"/>
      <c r="AG16" s="7" t="s">
        <v>15</v>
      </c>
      <c r="AH16">
        <v>1059388.8999999999</v>
      </c>
      <c r="AI16">
        <v>1327518.1000000001</v>
      </c>
      <c r="AJ16">
        <v>1736413.7</v>
      </c>
      <c r="AK16">
        <v>1949592.1</v>
      </c>
      <c r="AL16">
        <v>2253991.9</v>
      </c>
      <c r="AM16">
        <v>2690661.5</v>
      </c>
      <c r="AN16">
        <v>3141988.7</v>
      </c>
      <c r="AO16">
        <v>3544443.5</v>
      </c>
    </row>
    <row r="17" spans="1:57">
      <c r="B17" s="7" t="s">
        <v>48</v>
      </c>
      <c r="C17" s="15">
        <f t="shared" ref="C17:J17" si="9">SUM(C3:C16)</f>
        <v>252035.10000000003</v>
      </c>
      <c r="D17" s="15">
        <f t="shared" si="9"/>
        <v>351725.10000000003</v>
      </c>
      <c r="E17" s="15">
        <f t="shared" si="9"/>
        <v>453417.69999999995</v>
      </c>
      <c r="F17" s="15">
        <f t="shared" si="9"/>
        <v>521080.79999999993</v>
      </c>
      <c r="G17" s="15">
        <f t="shared" si="9"/>
        <v>648912.10000000009</v>
      </c>
      <c r="H17" s="15">
        <f t="shared" si="9"/>
        <v>865769.2</v>
      </c>
      <c r="I17" s="15">
        <f t="shared" si="9"/>
        <v>1042535.5</v>
      </c>
      <c r="J17" s="15">
        <f t="shared" si="9"/>
        <v>1270020.8000000003</v>
      </c>
      <c r="M17" s="7" t="s">
        <v>16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W17" s="15">
        <f t="shared" si="1"/>
        <v>0</v>
      </c>
      <c r="X17" s="15">
        <f t="shared" si="2"/>
        <v>0</v>
      </c>
      <c r="Y17" s="15">
        <f t="shared" si="3"/>
        <v>0</v>
      </c>
      <c r="Z17" s="15">
        <f t="shared" si="4"/>
        <v>0</v>
      </c>
      <c r="AA17" s="15">
        <f t="shared" si="5"/>
        <v>0</v>
      </c>
      <c r="AB17" s="15">
        <f t="shared" si="6"/>
        <v>0</v>
      </c>
      <c r="AC17" s="30">
        <v>0</v>
      </c>
      <c r="AD17" s="7">
        <v>0</v>
      </c>
      <c r="AE17" s="7"/>
      <c r="AF17" s="7"/>
      <c r="AG17" s="7" t="s">
        <v>16</v>
      </c>
      <c r="AH17">
        <v>1721223.6</v>
      </c>
      <c r="AI17">
        <v>2115539.5</v>
      </c>
      <c r="AJ17">
        <v>2739960.3</v>
      </c>
      <c r="AK17">
        <v>3267802.4</v>
      </c>
      <c r="AL17">
        <v>3999294.4</v>
      </c>
      <c r="AM17">
        <v>4817635.0999999996</v>
      </c>
      <c r="AN17">
        <v>6047077.2999999998</v>
      </c>
      <c r="AO17">
        <v>7211770.9000000004</v>
      </c>
    </row>
    <row r="18" spans="1:57">
      <c r="A18" s="18" t="s">
        <v>72</v>
      </c>
      <c r="B18" s="7" t="s">
        <v>71</v>
      </c>
      <c r="C18" s="26">
        <v>356453.84090000001</v>
      </c>
      <c r="D18" s="26">
        <v>473652.79339999997</v>
      </c>
      <c r="E18" s="26">
        <v>594659.59500000009</v>
      </c>
      <c r="F18" s="27">
        <v>668037.95440000005</v>
      </c>
      <c r="G18" s="27">
        <v>820536.61259999988</v>
      </c>
      <c r="H18" s="27">
        <v>995573.09049999993</v>
      </c>
      <c r="I18" s="26">
        <v>1204485.3548999997</v>
      </c>
      <c r="J18" s="26">
        <v>1454573.8673999999</v>
      </c>
      <c r="W18" s="15"/>
      <c r="X18" s="15"/>
      <c r="Y18" s="15"/>
      <c r="Z18" s="15"/>
      <c r="AA18" s="15"/>
      <c r="AB18" s="15"/>
    </row>
    <row r="19" spans="1:57">
      <c r="A19" s="18" t="s">
        <v>76</v>
      </c>
      <c r="C19" s="28">
        <v>5113</v>
      </c>
      <c r="D19" s="28">
        <v>8079</v>
      </c>
      <c r="E19" s="24">
        <v>8821</v>
      </c>
      <c r="F19" s="28">
        <v>10028</v>
      </c>
      <c r="G19" s="28">
        <v>10613</v>
      </c>
      <c r="H19" s="28">
        <v>11052</v>
      </c>
      <c r="I19" s="28">
        <v>11743</v>
      </c>
      <c r="J19" s="28">
        <v>12652</v>
      </c>
      <c r="W19" s="15"/>
      <c r="X19" s="15"/>
      <c r="Y19" s="15"/>
      <c r="Z19" s="15"/>
      <c r="AA19" s="15"/>
      <c r="AB19" s="15"/>
    </row>
    <row r="20" spans="1:57">
      <c r="A20" s="10" t="s">
        <v>77</v>
      </c>
      <c r="C20" s="24">
        <f>C18/C19</f>
        <v>69.715204557011546</v>
      </c>
      <c r="D20" s="24">
        <f>D18/D19</f>
        <v>58.627651120188141</v>
      </c>
      <c r="E20" s="24">
        <f t="shared" ref="E20:J20" si="10">E18/E19</f>
        <v>67.414079469447913</v>
      </c>
      <c r="F20" s="24">
        <f t="shared" si="10"/>
        <v>66.617267092142001</v>
      </c>
      <c r="G20" s="24">
        <f t="shared" si="10"/>
        <v>77.31429497785733</v>
      </c>
      <c r="H20" s="24">
        <f t="shared" si="10"/>
        <v>90.08080804379297</v>
      </c>
      <c r="I20" s="24">
        <f t="shared" si="10"/>
        <v>102.57049773482072</v>
      </c>
      <c r="J20" s="24">
        <f t="shared" si="10"/>
        <v>114.96789973126778</v>
      </c>
      <c r="W20" s="15"/>
      <c r="X20" s="15"/>
      <c r="Y20" s="15"/>
      <c r="Z20" s="15"/>
      <c r="AA20" s="15"/>
      <c r="AB20" s="15"/>
    </row>
    <row r="21" spans="1:57">
      <c r="C21" s="15"/>
      <c r="D21" s="15"/>
      <c r="E21" s="15"/>
      <c r="F21" s="15"/>
      <c r="G21" s="15"/>
      <c r="H21" s="15"/>
      <c r="I21" s="15"/>
      <c r="J21" s="15"/>
      <c r="W21" s="15"/>
      <c r="X21" s="15"/>
      <c r="Y21" s="15"/>
      <c r="Z21" s="15"/>
      <c r="AA21" s="15"/>
      <c r="AB21" s="15"/>
    </row>
    <row r="22" spans="1:57">
      <c r="C22" s="15"/>
      <c r="D22" s="15"/>
      <c r="E22" s="15"/>
      <c r="F22" s="15"/>
      <c r="G22" s="15"/>
      <c r="H22" s="15"/>
      <c r="I22" s="15"/>
      <c r="J22" s="15"/>
      <c r="M22" s="22" t="s">
        <v>85</v>
      </c>
      <c r="W22" s="15"/>
      <c r="X22" s="15"/>
      <c r="Y22" s="15"/>
      <c r="Z22" s="15"/>
      <c r="AA22" s="15"/>
      <c r="AB22" s="15"/>
      <c r="BA22" t="s">
        <v>104</v>
      </c>
      <c r="BC22" t="s">
        <v>43</v>
      </c>
      <c r="BD22" t="s">
        <v>105</v>
      </c>
      <c r="BE22" t="s">
        <v>106</v>
      </c>
    </row>
    <row r="23" spans="1:57">
      <c r="B23" s="18" t="s">
        <v>78</v>
      </c>
      <c r="C23" s="24">
        <v>2017</v>
      </c>
      <c r="D23" s="24">
        <v>2018</v>
      </c>
      <c r="E23" s="24">
        <v>2019</v>
      </c>
      <c r="F23" s="24">
        <v>2020</v>
      </c>
      <c r="G23" s="24">
        <v>2021</v>
      </c>
      <c r="H23" s="24">
        <v>2022</v>
      </c>
      <c r="I23" s="24">
        <v>2023</v>
      </c>
      <c r="J23" s="24">
        <v>2024</v>
      </c>
      <c r="M23" s="18" t="s">
        <v>45</v>
      </c>
      <c r="N23" s="18">
        <v>2017</v>
      </c>
      <c r="O23" s="18">
        <v>2018</v>
      </c>
      <c r="P23" s="18">
        <v>2019</v>
      </c>
      <c r="Q23" s="18">
        <v>2020</v>
      </c>
      <c r="R23" s="18">
        <v>2021</v>
      </c>
      <c r="S23" s="18">
        <v>2022</v>
      </c>
      <c r="T23" s="18">
        <v>2023</v>
      </c>
      <c r="U23" s="18">
        <v>2024</v>
      </c>
      <c r="W23" s="22" t="s">
        <v>92</v>
      </c>
      <c r="X23" s="22" t="s">
        <v>91</v>
      </c>
      <c r="Y23" s="22" t="s">
        <v>90</v>
      </c>
      <c r="Z23" s="22" t="s">
        <v>89</v>
      </c>
      <c r="AA23" s="22" t="s">
        <v>88</v>
      </c>
      <c r="AB23" s="22" t="s">
        <v>87</v>
      </c>
      <c r="AF23" t="s">
        <v>1</v>
      </c>
      <c r="AG23" t="s">
        <v>96</v>
      </c>
      <c r="AR23" s="22" t="s">
        <v>97</v>
      </c>
      <c r="AS23" s="18">
        <v>2017</v>
      </c>
      <c r="AT23" s="18">
        <v>2018</v>
      </c>
      <c r="AU23" s="18">
        <v>2019</v>
      </c>
      <c r="AV23" s="18">
        <v>2020</v>
      </c>
      <c r="AW23" s="18">
        <v>2021</v>
      </c>
      <c r="AX23" s="18">
        <v>2022</v>
      </c>
      <c r="AY23" s="18">
        <v>2023</v>
      </c>
      <c r="AZ23" s="18">
        <v>2024</v>
      </c>
      <c r="BC23" t="s">
        <v>28</v>
      </c>
      <c r="BD23" s="7">
        <v>0.79146496723813908</v>
      </c>
      <c r="BE23" s="7">
        <v>1.0112523045341253</v>
      </c>
    </row>
    <row r="24" spans="1:57">
      <c r="B24" s="7" t="s">
        <v>3</v>
      </c>
      <c r="C24" s="25">
        <f>(C$18/C$17)*(C3/C$19)/C44*1000000</f>
        <v>1558.9034981724869</v>
      </c>
      <c r="D24" s="25">
        <f t="shared" ref="D24:J24" si="11">(D$18/D$17)*(D3/D$19)/D44*1000000</f>
        <v>1413.4878969382414</v>
      </c>
      <c r="E24" s="25">
        <f t="shared" si="11"/>
        <v>1555.1032154998952</v>
      </c>
      <c r="F24" s="25">
        <f t="shared" si="11"/>
        <v>1458.8594060936991</v>
      </c>
      <c r="G24" s="25">
        <f t="shared" si="11"/>
        <v>1590.6038970010447</v>
      </c>
      <c r="H24" s="25">
        <f t="shared" si="11"/>
        <v>1897.8710727214789</v>
      </c>
      <c r="I24" s="25">
        <f t="shared" si="11"/>
        <v>1949.8991636011572</v>
      </c>
      <c r="J24" s="25">
        <f t="shared" si="11"/>
        <v>2063.8185218166236</v>
      </c>
      <c r="M24" s="7" t="s">
        <v>3</v>
      </c>
      <c r="N24">
        <v>32.700000000000003</v>
      </c>
      <c r="O24">
        <v>30</v>
      </c>
      <c r="P24">
        <v>28.1</v>
      </c>
      <c r="Q24">
        <v>26.4</v>
      </c>
      <c r="R24">
        <v>25.6</v>
      </c>
      <c r="S24">
        <v>21.5</v>
      </c>
      <c r="T24">
        <v>20</v>
      </c>
      <c r="U24">
        <v>20.5</v>
      </c>
      <c r="W24" s="15">
        <f>AVERAGE(N24:P24)</f>
        <v>30.266666666666669</v>
      </c>
      <c r="X24" s="15">
        <f>AVERAGE(O24:Q24)</f>
        <v>28.166666666666668</v>
      </c>
      <c r="Y24" s="15">
        <f t="shared" ref="Y24:Y37" si="12">AVERAGE(P24:R24)</f>
        <v>26.7</v>
      </c>
      <c r="Z24" s="15">
        <f t="shared" ref="Z24:Z37" si="13">AVERAGE(Q24:S24)</f>
        <v>24.5</v>
      </c>
      <c r="AA24" s="15">
        <f t="shared" ref="AA24:AA37" si="14">AVERAGE(R24:T24)</f>
        <v>22.366666666666664</v>
      </c>
      <c r="AB24" s="15">
        <f t="shared" ref="AB24:AB37" si="15">AVERAGE(S24:U24)</f>
        <v>20.666666666666668</v>
      </c>
      <c r="AC24" s="7">
        <f>LINEST(W24:AB24)</f>
        <v>-1.9314285714285719</v>
      </c>
      <c r="AD24" s="7">
        <f>U24/AVERAGE(N24:U24)</f>
        <v>0.80078125</v>
      </c>
      <c r="AG24" s="22" t="s">
        <v>112</v>
      </c>
      <c r="AH24" s="18">
        <v>2017</v>
      </c>
      <c r="AI24" s="18">
        <v>2018</v>
      </c>
      <c r="AJ24" s="18">
        <v>2019</v>
      </c>
      <c r="AK24" s="18">
        <v>2020</v>
      </c>
      <c r="AL24" s="18">
        <v>2021</v>
      </c>
      <c r="AM24" s="18">
        <v>2022</v>
      </c>
      <c r="AN24" s="18">
        <v>2023</v>
      </c>
      <c r="AO24" s="18">
        <v>2024</v>
      </c>
      <c r="AQ24">
        <v>1</v>
      </c>
      <c r="AR24" t="s">
        <v>28</v>
      </c>
      <c r="AS24" s="15">
        <v>290.37928808918446</v>
      </c>
      <c r="AT24" s="15">
        <v>238.94683747988611</v>
      </c>
      <c r="AU24" s="15">
        <v>267.72121074708082</v>
      </c>
      <c r="AV24" s="15">
        <v>262.23336657359397</v>
      </c>
      <c r="AW24" s="15">
        <v>294.38564025252049</v>
      </c>
      <c r="AX24" s="15">
        <v>335.76043250090481</v>
      </c>
      <c r="AY24" s="15">
        <v>367.43606403815039</v>
      </c>
      <c r="AZ24" s="15">
        <v>403.78954315523237</v>
      </c>
      <c r="BA24" s="7">
        <f>AVERAGE(AS24:AZ24)/$AZ$38</f>
        <v>0.79146496723813908</v>
      </c>
      <c r="BC24" t="s">
        <v>29</v>
      </c>
      <c r="BD24" s="7">
        <v>0.72429318589288161</v>
      </c>
      <c r="BE24" s="7">
        <v>0.96355742455228999</v>
      </c>
    </row>
    <row r="25" spans="1:57">
      <c r="B25" s="7" t="s">
        <v>4</v>
      </c>
      <c r="C25" s="25">
        <f t="shared" ref="C25:J25" si="16">(C$18/C$17)*(C4/C$19)/C45*1000000</f>
        <v>1793.2673606015076</v>
      </c>
      <c r="D25" s="25">
        <f t="shared" si="16"/>
        <v>1495.3257053552124</v>
      </c>
      <c r="E25" s="25">
        <f t="shared" si="16"/>
        <v>1627.9836093962751</v>
      </c>
      <c r="F25" s="25">
        <f t="shared" si="16"/>
        <v>1553.5934495743256</v>
      </c>
      <c r="G25" s="25">
        <f t="shared" si="16"/>
        <v>1619.4059774803452</v>
      </c>
      <c r="H25" s="25">
        <f t="shared" si="16"/>
        <v>2014.1492122298459</v>
      </c>
      <c r="I25" s="25">
        <f t="shared" si="16"/>
        <v>2289.986143424504</v>
      </c>
      <c r="J25" s="25">
        <f t="shared" si="16"/>
        <v>2414.1117262796542</v>
      </c>
      <c r="M25" s="7" t="s">
        <v>4</v>
      </c>
      <c r="N25">
        <v>20.8</v>
      </c>
      <c r="O25">
        <v>22.4</v>
      </c>
      <c r="P25">
        <v>23.6</v>
      </c>
      <c r="Q25">
        <v>22.9</v>
      </c>
      <c r="R25">
        <v>20.100000000000001</v>
      </c>
      <c r="S25">
        <v>23.9</v>
      </c>
      <c r="T25">
        <v>27.8</v>
      </c>
      <c r="U25">
        <v>28.8</v>
      </c>
      <c r="W25" s="15">
        <f t="shared" ref="W25:W37" si="17">AVERAGE(N25:P25)</f>
        <v>22.266666666666669</v>
      </c>
      <c r="X25" s="15">
        <f t="shared" ref="X25:X37" si="18">AVERAGE(O25:Q25)</f>
        <v>22.966666666666669</v>
      </c>
      <c r="Y25" s="15">
        <f t="shared" si="12"/>
        <v>22.2</v>
      </c>
      <c r="Z25" s="15">
        <f t="shared" si="13"/>
        <v>22.3</v>
      </c>
      <c r="AA25" s="15">
        <f t="shared" si="14"/>
        <v>23.933333333333334</v>
      </c>
      <c r="AB25" s="15">
        <f t="shared" si="15"/>
        <v>26.833333333333332</v>
      </c>
      <c r="AC25" s="7">
        <f t="shared" ref="AC25:AC37" si="19">LINEST(W25:AB25)</f>
        <v>0.73809523809523747</v>
      </c>
      <c r="AD25" s="7">
        <f t="shared" ref="AD25:AD37" si="20">U25/AVERAGE(N25:U25)</f>
        <v>1.2107199159222279</v>
      </c>
      <c r="AF25">
        <v>1</v>
      </c>
      <c r="AG25" s="7" t="s">
        <v>3</v>
      </c>
      <c r="AH25" s="15">
        <f>AH4/C$19</f>
        <v>241.21953843144925</v>
      </c>
      <c r="AI25" s="15">
        <f t="shared" ref="AI25:AO38" si="21">AI4/D$19</f>
        <v>186.10818170565665</v>
      </c>
      <c r="AJ25" s="15">
        <f t="shared" si="21"/>
        <v>209.89952386350754</v>
      </c>
      <c r="AK25" s="15">
        <f t="shared" si="21"/>
        <v>205.38916035101715</v>
      </c>
      <c r="AL25" s="15">
        <f t="shared" si="21"/>
        <v>224.1328465089984</v>
      </c>
      <c r="AM25" s="15">
        <f t="shared" si="21"/>
        <v>252.1916033297141</v>
      </c>
      <c r="AN25" s="15">
        <f t="shared" si="21"/>
        <v>277.96637997104659</v>
      </c>
      <c r="AO25" s="15">
        <f t="shared" si="21"/>
        <v>290.24738381283589</v>
      </c>
      <c r="AQ25">
        <v>2</v>
      </c>
      <c r="AR25" t="s">
        <v>29</v>
      </c>
      <c r="AS25" s="15">
        <v>246.99346763152749</v>
      </c>
      <c r="AT25" s="15">
        <v>204.31109048149523</v>
      </c>
      <c r="AU25" s="15">
        <v>228.07527491214148</v>
      </c>
      <c r="AV25" s="15">
        <v>238.00651176705225</v>
      </c>
      <c r="AW25" s="15">
        <v>263.88851408649765</v>
      </c>
      <c r="AX25" s="15">
        <v>317.80706659428159</v>
      </c>
      <c r="AY25" s="15">
        <v>360.53271736353577</v>
      </c>
      <c r="AZ25" s="15">
        <v>392.20170723996205</v>
      </c>
      <c r="BA25" s="7">
        <f t="shared" ref="BA25:BA37" si="22">AVERAGE(AS25:AZ25)/$AZ$38</f>
        <v>0.72429318589288161</v>
      </c>
      <c r="BC25" t="s">
        <v>30</v>
      </c>
      <c r="BD25" s="7">
        <v>0.65270853395740513</v>
      </c>
      <c r="BE25" s="7">
        <v>0.84696797807718283</v>
      </c>
    </row>
    <row r="26" spans="1:57">
      <c r="B26" s="7" t="s">
        <v>5</v>
      </c>
      <c r="C26" s="25">
        <f t="shared" ref="C26:J26" si="23">(C$18/C$17)*(C5/C$19)/C46*1000000</f>
        <v>2476.3980064145239</v>
      </c>
      <c r="D26" s="25">
        <f t="shared" si="23"/>
        <v>1944.5274327511358</v>
      </c>
      <c r="E26" s="25">
        <f t="shared" si="23"/>
        <v>2194.197075531486</v>
      </c>
      <c r="F26" s="25">
        <f t="shared" si="23"/>
        <v>2082.1780191302905</v>
      </c>
      <c r="G26" s="25">
        <f t="shared" si="23"/>
        <v>2346.6708118097863</v>
      </c>
      <c r="H26" s="25">
        <f t="shared" si="23"/>
        <v>2722.6580287452334</v>
      </c>
      <c r="I26" s="25">
        <f t="shared" si="23"/>
        <v>2998.1544249936396</v>
      </c>
      <c r="J26" s="25">
        <f t="shared" si="23"/>
        <v>3169.2582670540764</v>
      </c>
      <c r="M26" s="7" t="s">
        <v>5</v>
      </c>
      <c r="N26">
        <v>19.7</v>
      </c>
      <c r="O26">
        <v>12.9</v>
      </c>
      <c r="P26">
        <v>19</v>
      </c>
      <c r="Q26">
        <v>16.8</v>
      </c>
      <c r="R26">
        <v>16.5</v>
      </c>
      <c r="S26">
        <v>17.399999999999999</v>
      </c>
      <c r="T26">
        <v>19.100000000000001</v>
      </c>
      <c r="U26">
        <v>19.899999999999999</v>
      </c>
      <c r="W26" s="15">
        <f t="shared" si="17"/>
        <v>17.2</v>
      </c>
      <c r="X26" s="15">
        <f t="shared" si="18"/>
        <v>16.233333333333334</v>
      </c>
      <c r="Y26" s="15">
        <f t="shared" si="12"/>
        <v>17.433333333333334</v>
      </c>
      <c r="Z26" s="15">
        <f t="shared" si="13"/>
        <v>16.899999999999999</v>
      </c>
      <c r="AA26" s="15">
        <f t="shared" si="14"/>
        <v>17.666666666666668</v>
      </c>
      <c r="AB26" s="15">
        <f t="shared" si="15"/>
        <v>18.8</v>
      </c>
      <c r="AC26" s="7">
        <f t="shared" si="19"/>
        <v>0.33619047619047637</v>
      </c>
      <c r="AD26" s="7">
        <f t="shared" si="20"/>
        <v>1.1266808209483368</v>
      </c>
      <c r="AF26">
        <v>2</v>
      </c>
      <c r="AG26" s="7" t="s">
        <v>4</v>
      </c>
      <c r="AH26" s="15">
        <f t="shared" ref="AH26:AH38" si="24">AH5/C$19</f>
        <v>214.10831214551146</v>
      </c>
      <c r="AI26" s="15">
        <f t="shared" si="21"/>
        <v>166.62188389652184</v>
      </c>
      <c r="AJ26" s="15">
        <f t="shared" si="21"/>
        <v>191.89284661602994</v>
      </c>
      <c r="AK26" s="15">
        <f t="shared" si="21"/>
        <v>193.44461507778223</v>
      </c>
      <c r="AL26" s="15">
        <f t="shared" si="21"/>
        <v>211.834674455856</v>
      </c>
      <c r="AM26" s="15">
        <f t="shared" si="21"/>
        <v>253.75080528411146</v>
      </c>
      <c r="AN26" s="15">
        <f t="shared" si="21"/>
        <v>277.639112662863</v>
      </c>
      <c r="AO26" s="15">
        <f t="shared" si="21"/>
        <v>298.93794656971227</v>
      </c>
      <c r="AQ26">
        <v>3</v>
      </c>
      <c r="AR26" t="s">
        <v>30</v>
      </c>
      <c r="AS26" s="15">
        <v>233.91431644826909</v>
      </c>
      <c r="AT26" s="15">
        <v>184.99909642282461</v>
      </c>
      <c r="AU26" s="15">
        <v>210.89244983561954</v>
      </c>
      <c r="AV26" s="15">
        <v>213.08409453530115</v>
      </c>
      <c r="AW26" s="15">
        <v>240.94557618015639</v>
      </c>
      <c r="AX26" s="15">
        <v>283.28887984075283</v>
      </c>
      <c r="AY26" s="15">
        <v>320.61110448777998</v>
      </c>
      <c r="AZ26" s="15">
        <v>341.5252529244388</v>
      </c>
      <c r="BA26" s="7">
        <f t="shared" si="22"/>
        <v>0.65270853395740513</v>
      </c>
      <c r="BC26" t="s">
        <v>31</v>
      </c>
      <c r="BD26" s="7">
        <v>0.68159659530957728</v>
      </c>
      <c r="BE26" s="7">
        <v>0.98293577024066525</v>
      </c>
    </row>
    <row r="27" spans="1:57">
      <c r="B27" s="7" t="s">
        <v>6</v>
      </c>
      <c r="C27" s="25">
        <f t="shared" ref="C27:J27" si="25">(C$18/C$17)*(C6/C$19)/C47*1000000</f>
        <v>1945.0021475861897</v>
      </c>
      <c r="D27" s="25">
        <f t="shared" si="25"/>
        <v>1599.6321067356387</v>
      </c>
      <c r="E27" s="25">
        <f t="shared" si="25"/>
        <v>1765.1720465693713</v>
      </c>
      <c r="F27" s="25">
        <f t="shared" si="25"/>
        <v>1705.859376054588</v>
      </c>
      <c r="G27" s="25">
        <f t="shared" si="25"/>
        <v>1965.9726197128794</v>
      </c>
      <c r="H27" s="25">
        <f t="shared" si="25"/>
        <v>2188.9978254300713</v>
      </c>
      <c r="I27" s="25">
        <f t="shared" si="25"/>
        <v>2492.6934416506879</v>
      </c>
      <c r="J27" s="25">
        <f t="shared" si="25"/>
        <v>2585.7712219585069</v>
      </c>
      <c r="M27" s="7" t="s">
        <v>6</v>
      </c>
      <c r="N27">
        <v>14.3</v>
      </c>
      <c r="O27">
        <v>9.1999999999999993</v>
      </c>
      <c r="P27">
        <v>10.1</v>
      </c>
      <c r="Q27">
        <v>11.1</v>
      </c>
      <c r="R27">
        <v>12.2</v>
      </c>
      <c r="S27">
        <v>13.4</v>
      </c>
      <c r="T27">
        <v>16.600000000000001</v>
      </c>
      <c r="U27">
        <v>17.3</v>
      </c>
      <c r="W27" s="15">
        <f t="shared" si="17"/>
        <v>11.200000000000001</v>
      </c>
      <c r="X27" s="15">
        <f t="shared" si="18"/>
        <v>10.133333333333333</v>
      </c>
      <c r="Y27" s="15">
        <f t="shared" si="12"/>
        <v>11.133333333333333</v>
      </c>
      <c r="Z27" s="15">
        <f t="shared" si="13"/>
        <v>12.233333333333333</v>
      </c>
      <c r="AA27" s="15">
        <f t="shared" si="14"/>
        <v>14.066666666666668</v>
      </c>
      <c r="AB27" s="15">
        <f t="shared" si="15"/>
        <v>15.766666666666666</v>
      </c>
      <c r="AC27" s="7">
        <f t="shared" si="19"/>
        <v>1.0209523809523811</v>
      </c>
      <c r="AD27" s="7">
        <f t="shared" si="20"/>
        <v>1.3282149712092131</v>
      </c>
      <c r="AF27">
        <v>3</v>
      </c>
      <c r="AG27" s="7" t="s">
        <v>5</v>
      </c>
      <c r="AH27" s="15">
        <f t="shared" si="24"/>
        <v>240.99327205163311</v>
      </c>
      <c r="AI27" s="15">
        <f t="shared" si="21"/>
        <v>180.79472707018198</v>
      </c>
      <c r="AJ27" s="15">
        <f t="shared" si="21"/>
        <v>201.2793220723274</v>
      </c>
      <c r="AK27" s="15">
        <f t="shared" si="21"/>
        <v>209.49169325887516</v>
      </c>
      <c r="AL27" s="15">
        <f t="shared" si="21"/>
        <v>219.27510600207296</v>
      </c>
      <c r="AM27" s="15">
        <f t="shared" si="21"/>
        <v>247.12215888526964</v>
      </c>
      <c r="AN27" s="15">
        <f t="shared" si="21"/>
        <v>269.76110874563574</v>
      </c>
      <c r="AO27" s="15">
        <f t="shared" si="21"/>
        <v>280.82203604173253</v>
      </c>
      <c r="AQ27">
        <v>4</v>
      </c>
      <c r="AR27" t="s">
        <v>31</v>
      </c>
      <c r="AS27" s="15">
        <v>265.09051437512227</v>
      </c>
      <c r="AT27" s="15">
        <v>199.59804431241491</v>
      </c>
      <c r="AU27" s="15">
        <v>226.82913501870536</v>
      </c>
      <c r="AV27" s="15">
        <v>231.31161747108095</v>
      </c>
      <c r="AW27" s="15">
        <v>253.2803354376708</v>
      </c>
      <c r="AX27" s="15">
        <v>286.96227832066597</v>
      </c>
      <c r="AY27" s="15">
        <v>318.07161713361154</v>
      </c>
      <c r="AZ27" s="15">
        <v>337.92976604489411</v>
      </c>
      <c r="BA27" s="7">
        <f t="shared" si="22"/>
        <v>0.68159659530957728</v>
      </c>
      <c r="BC27" t="s">
        <v>32</v>
      </c>
      <c r="BD27" s="7">
        <v>0.69902854591051866</v>
      </c>
      <c r="BE27" s="7">
        <v>0.97375796485872446</v>
      </c>
    </row>
    <row r="28" spans="1:57">
      <c r="B28" s="7" t="s">
        <v>7</v>
      </c>
      <c r="C28" s="25">
        <f t="shared" ref="C28:J28" si="26">(C$18/C$17)*(C7/C$19)/C48*1000000</f>
        <v>2026.8727717737411</v>
      </c>
      <c r="D28" s="25">
        <f t="shared" si="26"/>
        <v>1399.7568822911689</v>
      </c>
      <c r="E28" s="25">
        <f t="shared" si="26"/>
        <v>1491.0557031778328</v>
      </c>
      <c r="F28" s="25">
        <f t="shared" si="26"/>
        <v>1377.7257763165551</v>
      </c>
      <c r="G28" s="25">
        <f t="shared" si="26"/>
        <v>1520.3012875800346</v>
      </c>
      <c r="H28" s="25">
        <f t="shared" si="26"/>
        <v>1759.2767542378567</v>
      </c>
      <c r="I28" s="25">
        <f t="shared" si="26"/>
        <v>1939.532729116341</v>
      </c>
      <c r="J28" s="25">
        <f t="shared" si="26"/>
        <v>2050.6504642756436</v>
      </c>
      <c r="M28" s="7" t="s">
        <v>7</v>
      </c>
      <c r="N28">
        <v>35.200000000000003</v>
      </c>
      <c r="O28">
        <v>17.7</v>
      </c>
      <c r="P28">
        <v>17.8</v>
      </c>
      <c r="Q28">
        <v>16.899999999999999</v>
      </c>
      <c r="R28">
        <v>17</v>
      </c>
      <c r="S28">
        <v>16.5</v>
      </c>
      <c r="T28">
        <v>16.8</v>
      </c>
      <c r="U28">
        <v>17.7</v>
      </c>
      <c r="W28" s="15">
        <f t="shared" si="17"/>
        <v>23.566666666666666</v>
      </c>
      <c r="X28" s="15">
        <f t="shared" si="18"/>
        <v>17.466666666666665</v>
      </c>
      <c r="Y28" s="15">
        <f t="shared" si="12"/>
        <v>17.233333333333334</v>
      </c>
      <c r="Z28" s="15">
        <f t="shared" si="13"/>
        <v>16.8</v>
      </c>
      <c r="AA28" s="15">
        <f t="shared" si="14"/>
        <v>16.766666666666666</v>
      </c>
      <c r="AB28" s="15">
        <f t="shared" si="15"/>
        <v>17</v>
      </c>
      <c r="AC28" s="7">
        <f t="shared" si="19"/>
        <v>-1.0104761904761905</v>
      </c>
      <c r="AD28" s="7">
        <f t="shared" si="20"/>
        <v>0.91002570694087404</v>
      </c>
      <c r="AF28">
        <v>4</v>
      </c>
      <c r="AG28" s="7" t="s">
        <v>6</v>
      </c>
      <c r="AH28" s="15">
        <f t="shared" si="24"/>
        <v>210.81449247017406</v>
      </c>
      <c r="AI28" s="15">
        <f t="shared" si="21"/>
        <v>160.0246317613566</v>
      </c>
      <c r="AJ28" s="15">
        <f t="shared" si="21"/>
        <v>180.37702074594716</v>
      </c>
      <c r="AK28" s="15">
        <f t="shared" si="21"/>
        <v>181.52613681691264</v>
      </c>
      <c r="AL28" s="15">
        <f t="shared" si="21"/>
        <v>199.11304061057197</v>
      </c>
      <c r="AM28" s="15">
        <f t="shared" si="21"/>
        <v>228.88770358306189</v>
      </c>
      <c r="AN28" s="15">
        <f t="shared" si="21"/>
        <v>250.73248743932555</v>
      </c>
      <c r="AO28" s="15">
        <f t="shared" si="21"/>
        <v>264.87916534935192</v>
      </c>
      <c r="AQ28">
        <v>5</v>
      </c>
      <c r="AR28" t="s">
        <v>32</v>
      </c>
      <c r="AS28" s="15">
        <v>268.81470760805792</v>
      </c>
      <c r="AT28" s="15">
        <v>204.64880554524075</v>
      </c>
      <c r="AU28" s="15">
        <v>220.31117787098967</v>
      </c>
      <c r="AV28" s="15">
        <v>227.2142899880335</v>
      </c>
      <c r="AW28" s="15">
        <v>270.70081974936397</v>
      </c>
      <c r="AX28" s="15">
        <v>302.8077452044879</v>
      </c>
      <c r="AY28" s="15">
        <v>334.40902665417696</v>
      </c>
      <c r="AZ28" s="15">
        <v>344.36240120139104</v>
      </c>
      <c r="BA28" s="7">
        <f t="shared" si="22"/>
        <v>0.69902854591051866</v>
      </c>
      <c r="BC28" t="s">
        <v>33</v>
      </c>
      <c r="BD28" s="7">
        <v>1.0183522107040752</v>
      </c>
      <c r="BE28" s="7">
        <v>0.89285998576020176</v>
      </c>
    </row>
    <row r="29" spans="1:57">
      <c r="B29" s="7" t="s">
        <v>8</v>
      </c>
      <c r="C29" s="25">
        <f t="shared" ref="C29:J29" si="27">(C$18/C$17)*(C8/C$19)/C49*1000000</f>
        <v>4175.6005168445727</v>
      </c>
      <c r="D29" s="25">
        <f t="shared" si="27"/>
        <v>3927.612896136347</v>
      </c>
      <c r="E29" s="25">
        <f t="shared" si="27"/>
        <v>5498.5439485723437</v>
      </c>
      <c r="F29" s="25">
        <f t="shared" si="27"/>
        <v>6382.6555355449027</v>
      </c>
      <c r="G29" s="25">
        <f t="shared" si="27"/>
        <v>6903.5034304091896</v>
      </c>
      <c r="H29" s="25">
        <f t="shared" si="27"/>
        <v>7245.1688838834689</v>
      </c>
      <c r="I29" s="25">
        <f t="shared" si="27"/>
        <v>8222.7631460062767</v>
      </c>
      <c r="J29" s="25">
        <f t="shared" si="27"/>
        <v>9874.747166791929</v>
      </c>
      <c r="M29" s="7" t="s">
        <v>8</v>
      </c>
      <c r="N29">
        <v>53.9</v>
      </c>
      <c r="O29">
        <v>54.6</v>
      </c>
      <c r="P29">
        <v>65.2</v>
      </c>
      <c r="Q29">
        <v>70.900000000000006</v>
      </c>
      <c r="R29">
        <v>69</v>
      </c>
      <c r="S29">
        <v>67.8</v>
      </c>
      <c r="T29">
        <v>68.400000000000006</v>
      </c>
      <c r="U29">
        <v>72.099999999999994</v>
      </c>
      <c r="W29" s="15">
        <f t="shared" si="17"/>
        <v>57.9</v>
      </c>
      <c r="X29" s="15">
        <f t="shared" si="18"/>
        <v>63.56666666666667</v>
      </c>
      <c r="Y29" s="15">
        <f t="shared" si="12"/>
        <v>68.366666666666674</v>
      </c>
      <c r="Z29" s="15">
        <f t="shared" si="13"/>
        <v>69.233333333333334</v>
      </c>
      <c r="AA29" s="15">
        <f t="shared" si="14"/>
        <v>68.400000000000006</v>
      </c>
      <c r="AB29" s="15">
        <f t="shared" si="15"/>
        <v>69.433333333333323</v>
      </c>
      <c r="AC29" s="7">
        <f t="shared" si="19"/>
        <v>2.086666666666666</v>
      </c>
      <c r="AD29" s="7">
        <f t="shared" si="20"/>
        <v>1.1051925656255985</v>
      </c>
      <c r="AF29">
        <v>5</v>
      </c>
      <c r="AG29" s="7" t="s">
        <v>7</v>
      </c>
      <c r="AH29" s="15">
        <f t="shared" si="24"/>
        <v>221.58648542929785</v>
      </c>
      <c r="AI29" s="15">
        <f t="shared" si="21"/>
        <v>181.54370590419609</v>
      </c>
      <c r="AJ29" s="15">
        <f t="shared" si="21"/>
        <v>195.01971431810452</v>
      </c>
      <c r="AK29" s="15">
        <f t="shared" si="21"/>
        <v>182.94041683286798</v>
      </c>
      <c r="AL29" s="15">
        <f t="shared" si="21"/>
        <v>202.99443135776878</v>
      </c>
      <c r="AM29" s="15">
        <f t="shared" si="21"/>
        <v>234.35965436120159</v>
      </c>
      <c r="AN29" s="15">
        <f t="shared" si="21"/>
        <v>250.37994549944651</v>
      </c>
      <c r="AO29" s="15">
        <f t="shared" si="21"/>
        <v>257.18130730319314</v>
      </c>
      <c r="AQ29">
        <v>6</v>
      </c>
      <c r="AR29" t="s">
        <v>33</v>
      </c>
      <c r="AS29" s="15">
        <v>363.4583414824956</v>
      </c>
      <c r="AT29" s="15">
        <v>279.94406485951231</v>
      </c>
      <c r="AU29" s="15">
        <v>314.42143747874388</v>
      </c>
      <c r="AV29" s="15">
        <v>330.10698045472674</v>
      </c>
      <c r="AW29" s="15">
        <v>439.76739847357021</v>
      </c>
      <c r="AX29" s="15">
        <v>438.95707564241764</v>
      </c>
      <c r="AY29" s="15">
        <v>488.00903516988842</v>
      </c>
      <c r="AZ29" s="15">
        <v>511.37699177995574</v>
      </c>
      <c r="BA29" s="7">
        <f t="shared" si="22"/>
        <v>1.0183522107040752</v>
      </c>
      <c r="BC29" t="s">
        <v>34</v>
      </c>
      <c r="BD29" s="7">
        <v>0.60976956302945917</v>
      </c>
      <c r="BE29" s="7">
        <v>0.91888691081942631</v>
      </c>
    </row>
    <row r="30" spans="1:57">
      <c r="B30" s="7" t="s">
        <v>9</v>
      </c>
      <c r="C30" s="25">
        <f t="shared" ref="C30:J30" si="28">(C$18/C$17)*(C9/C$19)/C50*1000000</f>
        <v>1512.2771896089218</v>
      </c>
      <c r="D30" s="25">
        <f t="shared" si="28"/>
        <v>1161.3931858463741</v>
      </c>
      <c r="E30" s="25">
        <f t="shared" si="28"/>
        <v>1283.4567753923004</v>
      </c>
      <c r="F30" s="25">
        <f t="shared" si="28"/>
        <v>1267.3006892411047</v>
      </c>
      <c r="G30" s="25">
        <f t="shared" si="28"/>
        <v>1707.6281374904838</v>
      </c>
      <c r="H30" s="25">
        <f t="shared" si="28"/>
        <v>1722.1219587410842</v>
      </c>
      <c r="I30" s="25">
        <f t="shared" si="28"/>
        <v>1909.4096179788285</v>
      </c>
      <c r="J30" s="25">
        <f t="shared" si="28"/>
        <v>2034.6870477661403</v>
      </c>
      <c r="M30" s="7" t="s">
        <v>9</v>
      </c>
      <c r="N30">
        <v>14.9</v>
      </c>
      <c r="O30">
        <v>12.6</v>
      </c>
      <c r="P30">
        <v>12.7</v>
      </c>
      <c r="Q30">
        <v>13.7</v>
      </c>
      <c r="R30">
        <v>14.6</v>
      </c>
      <c r="S30">
        <v>13.9</v>
      </c>
      <c r="T30">
        <v>15.1</v>
      </c>
      <c r="U30">
        <v>16.7</v>
      </c>
      <c r="W30" s="15">
        <f t="shared" si="17"/>
        <v>13.4</v>
      </c>
      <c r="X30" s="15">
        <f t="shared" si="18"/>
        <v>13</v>
      </c>
      <c r="Y30" s="15">
        <f t="shared" si="12"/>
        <v>13.666666666666666</v>
      </c>
      <c r="Z30" s="15">
        <f t="shared" si="13"/>
        <v>14.066666666666665</v>
      </c>
      <c r="AA30" s="15">
        <f t="shared" si="14"/>
        <v>14.533333333333333</v>
      </c>
      <c r="AB30" s="15">
        <f t="shared" si="15"/>
        <v>15.233333333333334</v>
      </c>
      <c r="AC30" s="7">
        <f t="shared" si="19"/>
        <v>0.40476190476190477</v>
      </c>
      <c r="AD30" s="7">
        <f t="shared" si="20"/>
        <v>1.1698774080560419</v>
      </c>
      <c r="AF30">
        <v>6</v>
      </c>
      <c r="AG30" s="7" t="s">
        <v>8</v>
      </c>
      <c r="AH30" s="15">
        <f t="shared" si="24"/>
        <v>332.51902992372385</v>
      </c>
      <c r="AI30" s="15">
        <f t="shared" si="21"/>
        <v>247.53386557742297</v>
      </c>
      <c r="AJ30" s="15">
        <f t="shared" si="21"/>
        <v>277.59381022559802</v>
      </c>
      <c r="AK30" s="15">
        <f t="shared" si="21"/>
        <v>285.98914040686083</v>
      </c>
      <c r="AL30" s="15">
        <f t="shared" si="21"/>
        <v>351.77069631583907</v>
      </c>
      <c r="AM30" s="15">
        <f t="shared" si="21"/>
        <v>387.59846181686572</v>
      </c>
      <c r="AN30" s="15">
        <f t="shared" si="21"/>
        <v>426.05847739078604</v>
      </c>
      <c r="AO30" s="15">
        <f t="shared" si="21"/>
        <v>447.97607492886499</v>
      </c>
      <c r="AQ30">
        <v>7</v>
      </c>
      <c r="AR30" t="s">
        <v>34</v>
      </c>
      <c r="AS30" s="15">
        <v>225.34345785253277</v>
      </c>
      <c r="AT30" s="15">
        <v>179.31177125881916</v>
      </c>
      <c r="AU30" s="15">
        <v>205.24785171749235</v>
      </c>
      <c r="AV30" s="15">
        <v>204.04267052253689</v>
      </c>
      <c r="AW30" s="15">
        <v>227.47067747102608</v>
      </c>
      <c r="AX30" s="15">
        <v>264.01048678972131</v>
      </c>
      <c r="AY30" s="15">
        <v>287.15100911181128</v>
      </c>
      <c r="AZ30" s="15">
        <v>303.18624723363894</v>
      </c>
      <c r="BA30" s="7">
        <f t="shared" si="22"/>
        <v>0.60976956302945917</v>
      </c>
      <c r="BC30" t="s">
        <v>35</v>
      </c>
      <c r="BD30" s="7">
        <v>0.64795965872747563</v>
      </c>
      <c r="BE30" s="7">
        <v>0.96754680880031663</v>
      </c>
    </row>
    <row r="31" spans="1:57">
      <c r="B31" s="7" t="s">
        <v>10</v>
      </c>
      <c r="C31" s="25">
        <f t="shared" ref="C31:J31" si="29">(C$18/C$17)*(C10/C$19)/C51*1000000</f>
        <v>1936.862175533475</v>
      </c>
      <c r="D31" s="25">
        <f t="shared" si="29"/>
        <v>1464.3643849782807</v>
      </c>
      <c r="E31" s="25">
        <f t="shared" si="29"/>
        <v>1517.2045923677015</v>
      </c>
      <c r="F31" s="25">
        <f t="shared" si="29"/>
        <v>1418.5473749752528</v>
      </c>
      <c r="G31" s="25">
        <f t="shared" si="29"/>
        <v>1596.3676288292686</v>
      </c>
      <c r="H31" s="25">
        <f t="shared" si="29"/>
        <v>1780.5835421953993</v>
      </c>
      <c r="I31" s="25">
        <f t="shared" si="29"/>
        <v>1986.4782688406128</v>
      </c>
      <c r="J31" s="25">
        <f t="shared" si="29"/>
        <v>2148.1100271712821</v>
      </c>
      <c r="M31" s="7" t="s">
        <v>10</v>
      </c>
      <c r="N31">
        <v>18.600000000000001</v>
      </c>
      <c r="O31">
        <v>14.7</v>
      </c>
      <c r="P31">
        <v>13.8</v>
      </c>
      <c r="Q31">
        <v>14.7</v>
      </c>
      <c r="R31">
        <v>14.2</v>
      </c>
      <c r="S31">
        <v>15.9</v>
      </c>
      <c r="T31">
        <v>15.6</v>
      </c>
      <c r="U31">
        <v>16.7</v>
      </c>
      <c r="W31" s="15">
        <f t="shared" si="17"/>
        <v>15.699999999999998</v>
      </c>
      <c r="X31" s="15">
        <f t="shared" si="18"/>
        <v>14.4</v>
      </c>
      <c r="Y31" s="15">
        <f t="shared" si="12"/>
        <v>14.233333333333334</v>
      </c>
      <c r="Z31" s="15">
        <f t="shared" si="13"/>
        <v>14.933333333333332</v>
      </c>
      <c r="AA31" s="15">
        <f t="shared" si="14"/>
        <v>15.233333333333334</v>
      </c>
      <c r="AB31" s="15">
        <f t="shared" si="15"/>
        <v>16.066666666666666</v>
      </c>
      <c r="AC31" s="7">
        <f t="shared" si="19"/>
        <v>0.14380952380952405</v>
      </c>
      <c r="AD31" s="7">
        <f t="shared" si="20"/>
        <v>1.075684380032206</v>
      </c>
      <c r="AF31">
        <v>7</v>
      </c>
      <c r="AG31" s="7" t="s">
        <v>9</v>
      </c>
      <c r="AH31" s="15">
        <f t="shared" si="24"/>
        <v>197.99194210835128</v>
      </c>
      <c r="AI31" s="15">
        <f t="shared" si="21"/>
        <v>153.83370466641912</v>
      </c>
      <c r="AJ31" s="15">
        <f t="shared" si="21"/>
        <v>176.91010089559006</v>
      </c>
      <c r="AK31" s="15">
        <f t="shared" si="21"/>
        <v>169.9341842840048</v>
      </c>
      <c r="AL31" s="15">
        <f t="shared" si="21"/>
        <v>187.27973240365588</v>
      </c>
      <c r="AM31" s="15">
        <f t="shared" si="21"/>
        <v>229.82343467245749</v>
      </c>
      <c r="AN31" s="15">
        <f t="shared" si="21"/>
        <v>237.27417184705783</v>
      </c>
      <c r="AO31" s="15">
        <f t="shared" si="21"/>
        <v>250.59141637685741</v>
      </c>
      <c r="AQ31">
        <v>8</v>
      </c>
      <c r="AR31" t="s">
        <v>35</v>
      </c>
      <c r="AS31" s="15">
        <v>241.52515157441817</v>
      </c>
      <c r="AT31" s="15">
        <v>181.66159178116104</v>
      </c>
      <c r="AU31" s="15">
        <v>207.45117333635642</v>
      </c>
      <c r="AV31" s="15">
        <v>212.98173115277223</v>
      </c>
      <c r="AW31" s="15">
        <v>241.40685951191935</v>
      </c>
      <c r="AX31" s="15">
        <v>281.23172276511036</v>
      </c>
      <c r="AY31" s="15">
        <v>311.00147321808737</v>
      </c>
      <c r="AZ31" s="15">
        <v>337.23688744862471</v>
      </c>
      <c r="BA31" s="7">
        <f t="shared" si="22"/>
        <v>0.64795965872747563</v>
      </c>
      <c r="BC31" t="s">
        <v>36</v>
      </c>
      <c r="BD31" s="7">
        <v>0.70824854585552999</v>
      </c>
      <c r="BE31" s="7">
        <v>1.0194908762592905</v>
      </c>
    </row>
    <row r="32" spans="1:57">
      <c r="B32" s="7" t="s">
        <v>11</v>
      </c>
      <c r="C32" s="25">
        <f t="shared" ref="C32:J32" si="30">(C$18/C$17)*(C11/C$19)/C52*1000000</f>
        <v>1539.2735813187867</v>
      </c>
      <c r="D32" s="25">
        <f t="shared" si="30"/>
        <v>1232.642396480361</v>
      </c>
      <c r="E32" s="25">
        <f t="shared" si="30"/>
        <v>1289.4632296366331</v>
      </c>
      <c r="F32" s="25">
        <f t="shared" si="30"/>
        <v>1197.4612173503103</v>
      </c>
      <c r="G32" s="25">
        <f t="shared" si="30"/>
        <v>1319.6735621178859</v>
      </c>
      <c r="H32" s="25">
        <f t="shared" si="30"/>
        <v>1486.8894438270841</v>
      </c>
      <c r="I32" s="25">
        <f t="shared" si="30"/>
        <v>1647.6199037884928</v>
      </c>
      <c r="J32" s="25">
        <f t="shared" si="30"/>
        <v>1710.1850904150283</v>
      </c>
      <c r="M32" s="7" t="s">
        <v>11</v>
      </c>
      <c r="N32">
        <v>8.1999999999999993</v>
      </c>
      <c r="O32">
        <v>6.6</v>
      </c>
      <c r="P32">
        <v>6.5</v>
      </c>
      <c r="Q32">
        <v>7</v>
      </c>
      <c r="R32">
        <v>7.3</v>
      </c>
      <c r="S32">
        <v>7.3</v>
      </c>
      <c r="T32">
        <v>8.1</v>
      </c>
      <c r="U32">
        <v>9.6</v>
      </c>
      <c r="W32" s="15">
        <f t="shared" si="17"/>
        <v>7.0999999999999988</v>
      </c>
      <c r="X32" s="15">
        <f t="shared" si="18"/>
        <v>6.7</v>
      </c>
      <c r="Y32" s="15">
        <f t="shared" si="12"/>
        <v>6.9333333333333336</v>
      </c>
      <c r="Z32" s="15">
        <f t="shared" si="13"/>
        <v>7.2</v>
      </c>
      <c r="AA32" s="15">
        <f t="shared" si="14"/>
        <v>7.5666666666666664</v>
      </c>
      <c r="AB32" s="15">
        <f t="shared" si="15"/>
        <v>8.3333333333333339</v>
      </c>
      <c r="AC32" s="7">
        <f t="shared" si="19"/>
        <v>0.25809523809523832</v>
      </c>
      <c r="AD32" s="7">
        <f t="shared" si="20"/>
        <v>1.2673267326732673</v>
      </c>
      <c r="AF32">
        <v>8</v>
      </c>
      <c r="AG32" s="7" t="s">
        <v>10</v>
      </c>
      <c r="AH32" s="15">
        <f t="shared" si="24"/>
        <v>194.42963035399961</v>
      </c>
      <c r="AI32" s="15">
        <f t="shared" si="21"/>
        <v>151.9070181953212</v>
      </c>
      <c r="AJ32" s="15">
        <f t="shared" si="21"/>
        <v>176.54479084004083</v>
      </c>
      <c r="AK32" s="15">
        <f t="shared" si="21"/>
        <v>172.89805544475468</v>
      </c>
      <c r="AL32" s="15">
        <f t="shared" si="21"/>
        <v>189.87177989258456</v>
      </c>
      <c r="AM32" s="15">
        <f t="shared" si="21"/>
        <v>221.75290445168295</v>
      </c>
      <c r="AN32" s="15">
        <f t="shared" si="21"/>
        <v>242.99229328110363</v>
      </c>
      <c r="AO32" s="15">
        <f t="shared" si="21"/>
        <v>262.66191906417959</v>
      </c>
      <c r="AQ32">
        <v>9</v>
      </c>
      <c r="AR32" t="s">
        <v>36</v>
      </c>
      <c r="AS32" s="15">
        <v>252.09458243692549</v>
      </c>
      <c r="AT32" s="15">
        <v>200.65727193959648</v>
      </c>
      <c r="AU32" s="15">
        <v>229.65942636889241</v>
      </c>
      <c r="AV32" s="15">
        <v>228.44182289589151</v>
      </c>
      <c r="AW32" s="15">
        <v>263.8628757184585</v>
      </c>
      <c r="AX32" s="15">
        <v>308.38667209554831</v>
      </c>
      <c r="AY32" s="15">
        <v>350.44437537256238</v>
      </c>
      <c r="AZ32" s="15">
        <v>368.38678469807144</v>
      </c>
      <c r="BA32" s="7">
        <f t="shared" si="22"/>
        <v>0.70824854585552999</v>
      </c>
      <c r="BC32" t="s">
        <v>37</v>
      </c>
      <c r="BD32" s="7">
        <v>0.6485752827750475</v>
      </c>
      <c r="BE32" s="7">
        <v>0.87653906490278444</v>
      </c>
    </row>
    <row r="33" spans="1:64">
      <c r="B33" s="7" t="s">
        <v>12</v>
      </c>
      <c r="C33" s="25">
        <f t="shared" ref="C33:J33" si="31">(C$18/C$17)*(C12/C$19)/C53*1000000</f>
        <v>2215.421633294588</v>
      </c>
      <c r="D33" s="25">
        <f t="shared" si="31"/>
        <v>1743.2058572423773</v>
      </c>
      <c r="E33" s="25">
        <f t="shared" si="31"/>
        <v>2125.6973814510502</v>
      </c>
      <c r="F33" s="25">
        <f t="shared" si="31"/>
        <v>1934.1772991275543</v>
      </c>
      <c r="G33" s="25">
        <f t="shared" si="31"/>
        <v>2085.8241797004421</v>
      </c>
      <c r="H33" s="25">
        <f t="shared" si="31"/>
        <v>2386.9024686956704</v>
      </c>
      <c r="I33" s="25">
        <f t="shared" si="31"/>
        <v>2633.7520053098474</v>
      </c>
      <c r="J33" s="25">
        <f t="shared" si="31"/>
        <v>2773.5039016068818</v>
      </c>
      <c r="M33" s="7" t="s">
        <v>12</v>
      </c>
      <c r="N33">
        <v>24.7</v>
      </c>
      <c r="O33">
        <v>21.3</v>
      </c>
      <c r="P33">
        <v>24.1</v>
      </c>
      <c r="Q33">
        <v>23.6</v>
      </c>
      <c r="R33">
        <v>23.8</v>
      </c>
      <c r="S33">
        <v>23.2</v>
      </c>
      <c r="T33">
        <v>26.1</v>
      </c>
      <c r="U33">
        <v>27.3</v>
      </c>
      <c r="W33" s="15">
        <f t="shared" si="17"/>
        <v>23.366666666666664</v>
      </c>
      <c r="X33" s="15">
        <f t="shared" si="18"/>
        <v>23</v>
      </c>
      <c r="Y33" s="15">
        <f t="shared" si="12"/>
        <v>23.833333333333332</v>
      </c>
      <c r="Z33" s="15">
        <f t="shared" si="13"/>
        <v>23.533333333333335</v>
      </c>
      <c r="AA33" s="15">
        <f t="shared" si="14"/>
        <v>24.366666666666664</v>
      </c>
      <c r="AB33" s="15">
        <f t="shared" si="15"/>
        <v>25.533333333333331</v>
      </c>
      <c r="AC33" s="7">
        <f t="shared" si="19"/>
        <v>0.41809523809523796</v>
      </c>
      <c r="AD33" s="7">
        <f t="shared" si="20"/>
        <v>1.1251931993817621</v>
      </c>
      <c r="AF33">
        <v>9</v>
      </c>
      <c r="AG33" s="7" t="s">
        <v>11</v>
      </c>
      <c r="AH33" s="15">
        <f t="shared" si="24"/>
        <v>207.90043027576763</v>
      </c>
      <c r="AI33" s="15">
        <f t="shared" si="21"/>
        <v>161.06718653298677</v>
      </c>
      <c r="AJ33" s="15">
        <f t="shared" si="21"/>
        <v>182.48400408116993</v>
      </c>
      <c r="AK33" s="15">
        <f t="shared" si="21"/>
        <v>182.06950538492222</v>
      </c>
      <c r="AL33" s="15">
        <f t="shared" si="21"/>
        <v>196.26657872420617</v>
      </c>
      <c r="AM33" s="15">
        <f t="shared" si="21"/>
        <v>228.93219326818675</v>
      </c>
      <c r="AN33" s="15">
        <f t="shared" si="21"/>
        <v>251.93008600868603</v>
      </c>
      <c r="AO33" s="15">
        <f t="shared" si="21"/>
        <v>257.89575561176099</v>
      </c>
      <c r="AQ33">
        <v>10</v>
      </c>
      <c r="AR33" t="s">
        <v>37</v>
      </c>
      <c r="AS33" s="15">
        <v>238.64707608057893</v>
      </c>
      <c r="AT33" s="15">
        <v>180.22617898254734</v>
      </c>
      <c r="AU33" s="15">
        <v>216.26222650493142</v>
      </c>
      <c r="AV33" s="15">
        <v>214.85760869565217</v>
      </c>
      <c r="AW33" s="15">
        <v>246.42890794308866</v>
      </c>
      <c r="AX33" s="15">
        <v>285.30473217517192</v>
      </c>
      <c r="AY33" s="15">
        <v>303.87268159754746</v>
      </c>
      <c r="AZ33" s="15">
        <v>330.81114448308568</v>
      </c>
      <c r="BA33" s="7">
        <f t="shared" si="22"/>
        <v>0.6485752827750475</v>
      </c>
      <c r="BC33" t="s">
        <v>39</v>
      </c>
      <c r="BD33" s="7">
        <v>0.84892037716583246</v>
      </c>
      <c r="BE33" s="7">
        <v>0.95532273816146229</v>
      </c>
    </row>
    <row r="34" spans="1:64">
      <c r="B34" s="7" t="s">
        <v>13</v>
      </c>
      <c r="C34" s="25">
        <f t="shared" ref="C34:J34" si="32">(C$18/C$17)*(C13/C$19)/C54*1000000</f>
        <v>2722.5461548310445</v>
      </c>
      <c r="D34" s="25">
        <f t="shared" si="32"/>
        <v>2329.7066254182428</v>
      </c>
      <c r="E34" s="25">
        <f t="shared" si="32"/>
        <v>2808.9028720369943</v>
      </c>
      <c r="F34" s="25">
        <f t="shared" si="32"/>
        <v>2798.9230017084446</v>
      </c>
      <c r="G34" s="25">
        <f t="shared" si="32"/>
        <v>3291.8692289089049</v>
      </c>
      <c r="H34" s="25">
        <f t="shared" si="32"/>
        <v>3651.9891302911674</v>
      </c>
      <c r="I34" s="25">
        <f t="shared" si="32"/>
        <v>3991.5163533815598</v>
      </c>
      <c r="J34" s="25">
        <f t="shared" si="32"/>
        <v>4342.1704309470588</v>
      </c>
      <c r="M34" s="7" t="s">
        <v>13</v>
      </c>
      <c r="N34">
        <v>38.700000000000003</v>
      </c>
      <c r="O34">
        <v>40.6</v>
      </c>
      <c r="P34">
        <v>45.9</v>
      </c>
      <c r="Q34">
        <v>47.6</v>
      </c>
      <c r="R34">
        <v>49.2</v>
      </c>
      <c r="S34">
        <v>45.5</v>
      </c>
      <c r="T34">
        <v>44.3</v>
      </c>
      <c r="U34">
        <v>44.5</v>
      </c>
      <c r="W34" s="15">
        <f t="shared" si="17"/>
        <v>41.733333333333341</v>
      </c>
      <c r="X34" s="15">
        <f t="shared" si="18"/>
        <v>44.699999999999996</v>
      </c>
      <c r="Y34" s="15">
        <f t="shared" si="12"/>
        <v>47.566666666666663</v>
      </c>
      <c r="Z34" s="15">
        <f t="shared" si="13"/>
        <v>47.433333333333337</v>
      </c>
      <c r="AA34" s="15">
        <f t="shared" si="14"/>
        <v>46.333333333333336</v>
      </c>
      <c r="AB34" s="15">
        <f t="shared" si="15"/>
        <v>44.766666666666673</v>
      </c>
      <c r="AC34" s="7">
        <f t="shared" si="19"/>
        <v>0.5695238095238101</v>
      </c>
      <c r="AD34" s="7">
        <f t="shared" si="20"/>
        <v>0.99915801291046868</v>
      </c>
      <c r="AF34">
        <v>10</v>
      </c>
      <c r="AG34" s="7" t="s">
        <v>12</v>
      </c>
      <c r="AH34" s="15">
        <f t="shared" si="24"/>
        <v>227.07889692939565</v>
      </c>
      <c r="AI34" s="15">
        <f t="shared" si="21"/>
        <v>169.89473944795148</v>
      </c>
      <c r="AJ34" s="15">
        <f t="shared" si="21"/>
        <v>195.46952726448248</v>
      </c>
      <c r="AK34" s="15">
        <f t="shared" si="21"/>
        <v>194.43045472676508</v>
      </c>
      <c r="AL34" s="15">
        <f t="shared" si="21"/>
        <v>213.44593423160276</v>
      </c>
      <c r="AM34" s="15">
        <f t="shared" si="21"/>
        <v>240.36485703944987</v>
      </c>
      <c r="AN34" s="15">
        <f t="shared" si="21"/>
        <v>260.45247381418716</v>
      </c>
      <c r="AO34" s="15">
        <f t="shared" si="21"/>
        <v>280.04134524185901</v>
      </c>
      <c r="AQ34">
        <v>11</v>
      </c>
      <c r="AR34" t="s">
        <v>39</v>
      </c>
      <c r="AS34" s="15">
        <v>244.73352239389791</v>
      </c>
      <c r="AT34" s="15">
        <v>224.92770144819903</v>
      </c>
      <c r="AU34" s="15">
        <v>262.75229565808866</v>
      </c>
      <c r="AV34" s="15">
        <v>288.96088950937371</v>
      </c>
      <c r="AW34" s="15">
        <v>332.91857156317724</v>
      </c>
      <c r="AX34" s="15">
        <v>386.94212812160697</v>
      </c>
      <c r="AY34" s="15">
        <v>447.1600698288342</v>
      </c>
      <c r="AZ34" s="15">
        <v>450.88518811255142</v>
      </c>
      <c r="BA34" s="7">
        <f t="shared" si="22"/>
        <v>0.84892037716583246</v>
      </c>
      <c r="BC34" t="s">
        <v>100</v>
      </c>
      <c r="BD34" s="7">
        <v>0.73134360466773241</v>
      </c>
      <c r="BE34" s="7">
        <v>1.0752589627776037</v>
      </c>
    </row>
    <row r="35" spans="1:64">
      <c r="B35" s="7" t="s">
        <v>14</v>
      </c>
      <c r="C35" s="25">
        <f t="shared" ref="C35:J35" si="33">(C$18/C$17)*(C14/C$19)/C55*1000000</f>
        <v>1539.282206123567</v>
      </c>
      <c r="D35" s="25">
        <f t="shared" si="33"/>
        <v>1267.2915533958596</v>
      </c>
      <c r="E35" s="25">
        <f t="shared" si="33"/>
        <v>1312.7325880967542</v>
      </c>
      <c r="F35" s="25">
        <f t="shared" si="33"/>
        <v>1268.0925124512239</v>
      </c>
      <c r="G35" s="25">
        <f t="shared" si="33"/>
        <v>1489.6334963359204</v>
      </c>
      <c r="H35" s="25">
        <f t="shared" si="33"/>
        <v>1749.5241715918828</v>
      </c>
      <c r="I35" s="25">
        <f t="shared" si="33"/>
        <v>1930.1771863011968</v>
      </c>
      <c r="J35" s="25">
        <f t="shared" si="33"/>
        <v>2035.668373272789</v>
      </c>
      <c r="M35" s="7" t="s">
        <v>14</v>
      </c>
      <c r="N35">
        <v>24.6</v>
      </c>
      <c r="O35">
        <v>19.600000000000001</v>
      </c>
      <c r="P35">
        <v>20.6</v>
      </c>
      <c r="Q35">
        <v>20.8</v>
      </c>
      <c r="R35">
        <v>20.7</v>
      </c>
      <c r="S35">
        <v>18.8</v>
      </c>
      <c r="T35">
        <v>19.3</v>
      </c>
      <c r="U35">
        <v>19.8</v>
      </c>
      <c r="W35" s="15">
        <f t="shared" si="17"/>
        <v>21.600000000000005</v>
      </c>
      <c r="X35" s="15">
        <f t="shared" si="18"/>
        <v>20.333333333333332</v>
      </c>
      <c r="Y35" s="15">
        <f t="shared" si="12"/>
        <v>20.700000000000003</v>
      </c>
      <c r="Z35" s="15">
        <f t="shared" si="13"/>
        <v>20.099999999999998</v>
      </c>
      <c r="AA35" s="15">
        <f t="shared" si="14"/>
        <v>19.599999999999998</v>
      </c>
      <c r="AB35" s="15">
        <f t="shared" si="15"/>
        <v>19.3</v>
      </c>
      <c r="AC35" s="7">
        <f t="shared" si="19"/>
        <v>-0.40857142857142942</v>
      </c>
      <c r="AD35" s="7">
        <f t="shared" si="20"/>
        <v>0.96467722289890367</v>
      </c>
      <c r="AF35">
        <v>11</v>
      </c>
      <c r="AG35" s="7" t="s">
        <v>13</v>
      </c>
      <c r="AH35" s="15">
        <f t="shared" si="24"/>
        <v>265.48849990221004</v>
      </c>
      <c r="AI35" s="15">
        <f t="shared" si="21"/>
        <v>211.1869662086892</v>
      </c>
      <c r="AJ35" s="15">
        <f t="shared" si="21"/>
        <v>234.27683936061672</v>
      </c>
      <c r="AK35" s="15">
        <f t="shared" si="21"/>
        <v>227.39596130833667</v>
      </c>
      <c r="AL35" s="15">
        <f t="shared" si="21"/>
        <v>262.81213605954963</v>
      </c>
      <c r="AM35" s="15">
        <f t="shared" si="21"/>
        <v>290.2264205573652</v>
      </c>
      <c r="AN35" s="15">
        <f t="shared" si="21"/>
        <v>312.79193562122117</v>
      </c>
      <c r="AO35" s="15">
        <f t="shared" si="21"/>
        <v>318.87173569396145</v>
      </c>
      <c r="AQ35">
        <v>12</v>
      </c>
      <c r="AR35" t="s">
        <v>100</v>
      </c>
      <c r="AS35" s="15">
        <v>271.88318012908275</v>
      </c>
      <c r="AT35" s="15">
        <v>213.6531253868053</v>
      </c>
      <c r="AU35" s="15">
        <v>240.52749121414806</v>
      </c>
      <c r="AV35" s="15">
        <v>250.80431790985244</v>
      </c>
      <c r="AW35" s="15">
        <v>266.46071798737398</v>
      </c>
      <c r="AX35" s="15">
        <v>322.53365001809624</v>
      </c>
      <c r="AY35" s="15">
        <v>347.64120752788898</v>
      </c>
      <c r="AZ35" s="15">
        <v>360.23230319317099</v>
      </c>
      <c r="BA35" s="7">
        <f t="shared" si="22"/>
        <v>0.73134360466773241</v>
      </c>
      <c r="BC35" t="s">
        <v>40</v>
      </c>
      <c r="BD35" s="7">
        <v>0.71909226552197414</v>
      </c>
      <c r="BE35" s="7">
        <v>0.97532802170063282</v>
      </c>
    </row>
    <row r="36" spans="1:64">
      <c r="B36" s="7" t="s">
        <v>15</v>
      </c>
      <c r="C36" s="25">
        <f t="shared" ref="C36:J36" si="34">(C$18/C$17)*(C15/C$19)/C56*1000000</f>
        <v>1783.7372030183981</v>
      </c>
      <c r="D36" s="25">
        <f t="shared" si="34"/>
        <v>1468.3236113010753</v>
      </c>
      <c r="E36" s="25">
        <f t="shared" si="34"/>
        <v>1549.3337042529031</v>
      </c>
      <c r="F36" s="25">
        <f t="shared" si="34"/>
        <v>1459.981099787233</v>
      </c>
      <c r="G36" s="25">
        <f t="shared" si="34"/>
        <v>1665.3859782240534</v>
      </c>
      <c r="H36" s="25">
        <f t="shared" si="34"/>
        <v>2024.3446346801513</v>
      </c>
      <c r="I36" s="25">
        <f t="shared" si="34"/>
        <v>2194.0530072489773</v>
      </c>
      <c r="J36" s="25">
        <f t="shared" si="34"/>
        <v>2325.3018800328973</v>
      </c>
      <c r="M36" s="7" t="s">
        <v>15</v>
      </c>
      <c r="N36">
        <v>17.3</v>
      </c>
      <c r="O36">
        <v>12.8</v>
      </c>
      <c r="P36">
        <v>12.4</v>
      </c>
      <c r="Q36">
        <v>12.2</v>
      </c>
      <c r="R36">
        <v>13</v>
      </c>
      <c r="S36">
        <v>15.2</v>
      </c>
      <c r="T36">
        <v>15.1</v>
      </c>
      <c r="U36">
        <v>16</v>
      </c>
      <c r="W36" s="15">
        <f t="shared" si="17"/>
        <v>14.166666666666666</v>
      </c>
      <c r="X36" s="15">
        <f t="shared" si="18"/>
        <v>12.466666666666669</v>
      </c>
      <c r="Y36" s="15">
        <f t="shared" si="12"/>
        <v>12.533333333333333</v>
      </c>
      <c r="Z36" s="15">
        <f t="shared" si="13"/>
        <v>13.466666666666667</v>
      </c>
      <c r="AA36" s="15">
        <f t="shared" si="14"/>
        <v>14.433333333333332</v>
      </c>
      <c r="AB36" s="15">
        <f t="shared" si="15"/>
        <v>15.433333333333332</v>
      </c>
      <c r="AC36" s="7">
        <f t="shared" si="19"/>
        <v>0.37619047619047558</v>
      </c>
      <c r="AD36" s="7">
        <f t="shared" si="20"/>
        <v>1.1228070175438596</v>
      </c>
      <c r="AF36">
        <v>12</v>
      </c>
      <c r="AG36" s="7" t="s">
        <v>14</v>
      </c>
      <c r="AH36" s="15">
        <f t="shared" si="24"/>
        <v>204.22300019557989</v>
      </c>
      <c r="AI36" s="15">
        <f t="shared" si="21"/>
        <v>156.29475182572102</v>
      </c>
      <c r="AJ36" s="15">
        <f t="shared" si="21"/>
        <v>181.95745380342365</v>
      </c>
      <c r="AK36" s="15">
        <f t="shared" si="21"/>
        <v>177.68458316713202</v>
      </c>
      <c r="AL36" s="15">
        <f t="shared" si="21"/>
        <v>193.59000282672193</v>
      </c>
      <c r="AM36" s="15">
        <f t="shared" si="21"/>
        <v>229.68323380383643</v>
      </c>
      <c r="AN36" s="15">
        <f t="shared" si="21"/>
        <v>242.96592863833772</v>
      </c>
      <c r="AO36" s="15">
        <f t="shared" si="21"/>
        <v>254.98546474865634</v>
      </c>
      <c r="AQ36">
        <v>13</v>
      </c>
      <c r="AR36" t="s">
        <v>40</v>
      </c>
      <c r="AS36" s="15">
        <v>243.26426755329553</v>
      </c>
      <c r="AT36" s="15">
        <v>193.51392499071667</v>
      </c>
      <c r="AU36" s="15">
        <v>227.25120734610587</v>
      </c>
      <c r="AV36" s="15">
        <v>236.38353609892303</v>
      </c>
      <c r="AW36" s="15">
        <v>271.68703476867989</v>
      </c>
      <c r="AX36" s="15">
        <v>317.36506514657981</v>
      </c>
      <c r="AY36" s="15">
        <v>357.39327258792474</v>
      </c>
      <c r="AZ36" s="15">
        <v>388.78846032247861</v>
      </c>
      <c r="BA36" s="7">
        <f t="shared" si="22"/>
        <v>0.71909226552197414</v>
      </c>
      <c r="BC36" t="s">
        <v>41</v>
      </c>
      <c r="BD36" s="7">
        <v>1.0076206210540437</v>
      </c>
      <c r="BE36" s="7">
        <v>1</v>
      </c>
    </row>
    <row r="37" spans="1:64">
      <c r="B37" s="7" t="s">
        <v>16</v>
      </c>
      <c r="C37" s="25">
        <f t="shared" ref="C37:J37" si="35">(C$18/C$17)*(C16/C$19)/C57*1000000</f>
        <v>4646.5218348172457</v>
      </c>
      <c r="D37" s="25">
        <f t="shared" si="35"/>
        <v>4294.7359771626143</v>
      </c>
      <c r="E37" s="25">
        <f t="shared" si="35"/>
        <v>5018.6131250561448</v>
      </c>
      <c r="F37" s="25">
        <f t="shared" si="35"/>
        <v>4734.9608163934499</v>
      </c>
      <c r="G37" s="25">
        <f t="shared" si="35"/>
        <v>5385.017441306577</v>
      </c>
      <c r="H37" s="25">
        <f t="shared" si="35"/>
        <v>6273.1375167536953</v>
      </c>
      <c r="I37" s="25">
        <f t="shared" si="35"/>
        <v>7158.2557734097409</v>
      </c>
      <c r="J37" s="25">
        <f t="shared" si="35"/>
        <v>8369.7402253810706</v>
      </c>
      <c r="M37" s="7" t="s">
        <v>16</v>
      </c>
      <c r="N37" s="20">
        <v>32.200000000000003</v>
      </c>
      <c r="O37" s="20">
        <v>34.299999999999997</v>
      </c>
      <c r="P37" s="19">
        <v>35.4</v>
      </c>
      <c r="Q37" s="19">
        <v>34.5</v>
      </c>
      <c r="R37" s="19">
        <v>35.1</v>
      </c>
      <c r="S37" s="19">
        <v>31.2</v>
      </c>
      <c r="T37" s="19">
        <v>28.2</v>
      </c>
      <c r="U37" s="21">
        <v>27.8</v>
      </c>
      <c r="W37" s="15">
        <f t="shared" si="17"/>
        <v>33.966666666666669</v>
      </c>
      <c r="X37" s="15">
        <f t="shared" si="18"/>
        <v>34.733333333333327</v>
      </c>
      <c r="Y37" s="15">
        <f t="shared" si="12"/>
        <v>35</v>
      </c>
      <c r="Z37" s="15">
        <f t="shared" si="13"/>
        <v>33.6</v>
      </c>
      <c r="AA37" s="15">
        <f t="shared" si="14"/>
        <v>31.5</v>
      </c>
      <c r="AB37" s="15">
        <f t="shared" si="15"/>
        <v>29.066666666666666</v>
      </c>
      <c r="AC37" s="7">
        <f t="shared" si="19"/>
        <v>-1.0171428571428569</v>
      </c>
      <c r="AD37" s="7">
        <f t="shared" si="20"/>
        <v>0.859683030537302</v>
      </c>
      <c r="AF37">
        <v>13</v>
      </c>
      <c r="AG37" s="7" t="s">
        <v>15</v>
      </c>
      <c r="AH37" s="15">
        <f t="shared" si="24"/>
        <v>207.19516917660863</v>
      </c>
      <c r="AI37" s="15">
        <f t="shared" si="21"/>
        <v>164.3171308330239</v>
      </c>
      <c r="AJ37" s="15">
        <f t="shared" si="21"/>
        <v>196.84998299512526</v>
      </c>
      <c r="AK37" s="15">
        <f t="shared" si="21"/>
        <v>194.41484842441164</v>
      </c>
      <c r="AL37" s="15">
        <f t="shared" si="21"/>
        <v>212.38027890323187</v>
      </c>
      <c r="AM37" s="15">
        <f t="shared" si="21"/>
        <v>243.45471407889974</v>
      </c>
      <c r="AN37" s="15">
        <f t="shared" si="21"/>
        <v>267.56269266797244</v>
      </c>
      <c r="AO37" s="15">
        <f t="shared" si="21"/>
        <v>280.14886974391402</v>
      </c>
      <c r="AQ37">
        <v>14</v>
      </c>
      <c r="AR37" t="s">
        <v>41</v>
      </c>
      <c r="AS37" s="15">
        <v>336.63672990416586</v>
      </c>
      <c r="AT37" s="15">
        <v>261.8566035400421</v>
      </c>
      <c r="AU37" s="15">
        <v>310.61787779163359</v>
      </c>
      <c r="AV37" s="15">
        <v>325.86781013163142</v>
      </c>
      <c r="AW37" s="15">
        <v>376.82977480448506</v>
      </c>
      <c r="AX37" s="15">
        <v>435.90617987694532</v>
      </c>
      <c r="AY37" s="15">
        <v>514.95165630588428</v>
      </c>
      <c r="AZ37" s="15">
        <v>570.01034619032566</v>
      </c>
      <c r="BA37" s="7">
        <f t="shared" si="22"/>
        <v>1.0076206210540437</v>
      </c>
    </row>
    <row r="38" spans="1:64">
      <c r="B38" s="10" t="s">
        <v>48</v>
      </c>
      <c r="C38" s="15"/>
      <c r="D38" s="15"/>
      <c r="E38" s="15"/>
      <c r="F38" s="15"/>
      <c r="G38" s="15"/>
      <c r="H38" s="15"/>
      <c r="I38" s="15"/>
      <c r="J38" s="15"/>
      <c r="W38" s="15"/>
      <c r="X38" s="15"/>
      <c r="Y38" s="15"/>
      <c r="Z38" s="15"/>
      <c r="AA38" s="15"/>
      <c r="AB38" s="15"/>
      <c r="AF38">
        <v>14</v>
      </c>
      <c r="AG38" s="7" t="s">
        <v>16</v>
      </c>
      <c r="AH38" s="15">
        <f t="shared" si="24"/>
        <v>336.63672990416586</v>
      </c>
      <c r="AI38" s="15">
        <f t="shared" si="21"/>
        <v>261.8566035400421</v>
      </c>
      <c r="AJ38" s="15">
        <f t="shared" si="21"/>
        <v>310.61787779163359</v>
      </c>
      <c r="AK38" s="15">
        <f t="shared" si="21"/>
        <v>325.86781013163142</v>
      </c>
      <c r="AL38" s="15">
        <f t="shared" si="21"/>
        <v>376.82977480448506</v>
      </c>
      <c r="AM38" s="15">
        <f t="shared" si="21"/>
        <v>435.90617987694532</v>
      </c>
      <c r="AN38" s="15">
        <f t="shared" si="21"/>
        <v>514.95165630588428</v>
      </c>
      <c r="AO38" s="15">
        <f t="shared" si="21"/>
        <v>570.01034619032566</v>
      </c>
      <c r="AZ38" s="15">
        <f>AVERAGE(AZ24:AZ37)</f>
        <v>388.6230731448444</v>
      </c>
    </row>
    <row r="39" spans="1:64">
      <c r="C39" s="15"/>
      <c r="D39" s="15"/>
      <c r="E39" s="15"/>
      <c r="F39" s="15"/>
      <c r="G39" s="15"/>
      <c r="H39" s="15"/>
      <c r="I39" s="29" t="s">
        <v>86</v>
      </c>
      <c r="J39" s="15"/>
      <c r="W39" s="15"/>
      <c r="X39" s="15"/>
      <c r="Y39" s="15"/>
      <c r="Z39" s="15"/>
      <c r="AA39" s="15"/>
      <c r="AB39" s="15"/>
    </row>
    <row r="40" spans="1:64">
      <c r="C40" s="15"/>
      <c r="D40" s="15"/>
      <c r="E40" s="15"/>
      <c r="F40" s="15"/>
      <c r="G40" s="15"/>
      <c r="H40" s="15"/>
      <c r="I40" s="15"/>
      <c r="J40" s="15"/>
      <c r="W40" s="15"/>
      <c r="X40" s="15"/>
      <c r="Y40" s="15"/>
      <c r="Z40" s="15"/>
      <c r="AA40" s="15"/>
      <c r="AB40" s="15"/>
    </row>
    <row r="41" spans="1:64">
      <c r="C41" s="15"/>
      <c r="D41" s="15"/>
      <c r="E41" s="15"/>
      <c r="F41" s="15"/>
      <c r="G41" s="15"/>
      <c r="H41" s="15"/>
      <c r="I41" s="15"/>
      <c r="J41" s="15"/>
      <c r="W41" s="15"/>
      <c r="X41" s="15"/>
      <c r="Y41" s="15"/>
      <c r="Z41" s="15"/>
      <c r="AA41" s="15"/>
      <c r="AB41" s="15"/>
    </row>
    <row r="42" spans="1:64">
      <c r="C42" s="15"/>
      <c r="D42" s="15"/>
      <c r="E42" s="15"/>
      <c r="F42" s="15"/>
      <c r="G42" s="15"/>
      <c r="H42" s="15"/>
      <c r="I42" s="15"/>
      <c r="J42" s="15"/>
      <c r="M42" s="22" t="s">
        <v>85</v>
      </c>
      <c r="W42" s="15"/>
      <c r="X42" s="15"/>
      <c r="Y42" s="15"/>
      <c r="Z42" s="15"/>
      <c r="AA42" s="15"/>
      <c r="AB42" s="15"/>
      <c r="AS42" s="18">
        <v>2017</v>
      </c>
      <c r="AT42" s="18">
        <v>2018</v>
      </c>
      <c r="AU42" s="18">
        <v>2019</v>
      </c>
      <c r="AV42" s="18">
        <v>2020</v>
      </c>
      <c r="AW42" s="18">
        <v>2021</v>
      </c>
      <c r="AX42" s="18">
        <v>2022</v>
      </c>
      <c r="AY42" s="18">
        <v>2023</v>
      </c>
      <c r="AZ42" s="18">
        <v>2024</v>
      </c>
      <c r="BC42" t="s">
        <v>78</v>
      </c>
      <c r="BD42">
        <v>2017</v>
      </c>
      <c r="BE42">
        <v>2018</v>
      </c>
      <c r="BF42">
        <v>2019</v>
      </c>
      <c r="BG42">
        <v>2020</v>
      </c>
      <c r="BH42">
        <v>2021</v>
      </c>
      <c r="BI42">
        <v>2022</v>
      </c>
      <c r="BJ42">
        <v>2023</v>
      </c>
      <c r="BK42">
        <v>2024</v>
      </c>
      <c r="BL42" t="s">
        <v>107</v>
      </c>
    </row>
    <row r="43" spans="1:64">
      <c r="B43" s="18" t="s">
        <v>80</v>
      </c>
      <c r="C43" s="24">
        <v>2017</v>
      </c>
      <c r="D43" s="24">
        <v>2018</v>
      </c>
      <c r="E43" s="24">
        <v>2019</v>
      </c>
      <c r="F43" s="24">
        <v>2020</v>
      </c>
      <c r="G43" s="24">
        <v>2021</v>
      </c>
      <c r="H43" s="24">
        <v>2022</v>
      </c>
      <c r="I43" s="24">
        <v>2023</v>
      </c>
      <c r="J43" s="24">
        <v>2024</v>
      </c>
      <c r="M43" s="18" t="s">
        <v>46</v>
      </c>
      <c r="N43" s="18">
        <v>2017</v>
      </c>
      <c r="O43" s="18">
        <v>2018</v>
      </c>
      <c r="P43" s="18">
        <v>2019</v>
      </c>
      <c r="Q43" s="18">
        <v>2020</v>
      </c>
      <c r="R43" s="18">
        <v>2021</v>
      </c>
      <c r="S43" s="18">
        <v>2022</v>
      </c>
      <c r="T43" s="18">
        <v>2023</v>
      </c>
      <c r="U43" s="18">
        <v>2024</v>
      </c>
      <c r="W43" s="22" t="s">
        <v>92</v>
      </c>
      <c r="X43" s="22" t="s">
        <v>91</v>
      </c>
      <c r="Y43" s="22" t="s">
        <v>90</v>
      </c>
      <c r="Z43" s="22" t="s">
        <v>89</v>
      </c>
      <c r="AA43" s="22" t="s">
        <v>88</v>
      </c>
      <c r="AB43" s="22" t="s">
        <v>87</v>
      </c>
      <c r="AF43" s="22" t="s">
        <v>98</v>
      </c>
      <c r="AG43" s="18"/>
      <c r="AH43" s="18">
        <v>2017</v>
      </c>
      <c r="AI43" s="18">
        <v>2018</v>
      </c>
      <c r="AJ43" s="18">
        <v>2019</v>
      </c>
      <c r="AK43" s="18">
        <v>2020</v>
      </c>
      <c r="AL43" s="18">
        <v>2021</v>
      </c>
      <c r="AM43" s="18">
        <v>2022</v>
      </c>
      <c r="AN43" s="18">
        <v>2023</v>
      </c>
      <c r="AO43" s="18">
        <v>2024</v>
      </c>
      <c r="AQ43">
        <v>1</v>
      </c>
      <c r="AR43" t="s">
        <v>28</v>
      </c>
      <c r="AS43" s="7">
        <f>AS24/AH25</f>
        <v>1.203796715545518</v>
      </c>
      <c r="AT43" s="7">
        <f t="shared" ref="AT43:AZ55" si="36">AT24/AI25</f>
        <v>1.2839136640311577</v>
      </c>
      <c r="AU43" s="7">
        <f t="shared" si="36"/>
        <v>1.275473168396386</v>
      </c>
      <c r="AV43" s="7">
        <f t="shared" si="36"/>
        <v>1.2767634188942985</v>
      </c>
      <c r="AW43" s="7">
        <f t="shared" si="36"/>
        <v>1.3134426517030007</v>
      </c>
      <c r="AX43" s="7">
        <f t="shared" si="36"/>
        <v>1.3313703869114675</v>
      </c>
      <c r="AY43" s="7">
        <f t="shared" si="36"/>
        <v>1.3218723216686246</v>
      </c>
      <c r="AZ43" s="7">
        <f t="shared" si="36"/>
        <v>1.391190982846596</v>
      </c>
      <c r="BA43" s="7"/>
      <c r="BC43" t="s">
        <v>3</v>
      </c>
      <c r="BD43">
        <v>1558.9034981724869</v>
      </c>
      <c r="BE43">
        <v>1413.4878969382414</v>
      </c>
      <c r="BF43">
        <v>1555.1032154998952</v>
      </c>
      <c r="BG43">
        <v>1458.8594060936991</v>
      </c>
      <c r="BH43">
        <v>1590.6038970010447</v>
      </c>
      <c r="BI43">
        <v>1897.8710727214789</v>
      </c>
      <c r="BJ43">
        <v>1949.8991636011572</v>
      </c>
      <c r="BK43">
        <v>2063.8185218166236</v>
      </c>
      <c r="BL43" s="7">
        <f>BK43/(AVERAGE(BD43:BK43))</f>
        <v>1.2240420392358762</v>
      </c>
    </row>
    <row r="44" spans="1:64">
      <c r="A44">
        <v>1</v>
      </c>
      <c r="B44" s="7" t="s">
        <v>3</v>
      </c>
      <c r="C44" s="15">
        <v>1817.5</v>
      </c>
      <c r="D44" s="15">
        <v>1842.3</v>
      </c>
      <c r="E44" s="15">
        <v>1869.8</v>
      </c>
      <c r="F44" s="15">
        <v>1898.3</v>
      </c>
      <c r="G44" s="15">
        <v>1923.7</v>
      </c>
      <c r="H44" s="15">
        <v>1948.5</v>
      </c>
      <c r="I44" s="15">
        <v>1976.2</v>
      </c>
      <c r="J44" s="15">
        <v>2002.7</v>
      </c>
      <c r="K44" s="7">
        <f>J44/AVERAGE(C44:J44)</f>
        <v>1.048602657241966</v>
      </c>
      <c r="M44" s="7" t="s">
        <v>3</v>
      </c>
      <c r="N44">
        <v>7.5</v>
      </c>
      <c r="O44">
        <v>6.7</v>
      </c>
      <c r="P44">
        <v>8.1</v>
      </c>
      <c r="Q44">
        <v>8.6</v>
      </c>
      <c r="R44">
        <v>8</v>
      </c>
      <c r="S44">
        <v>9.3000000000000007</v>
      </c>
      <c r="T44">
        <v>8.3000000000000007</v>
      </c>
      <c r="U44">
        <v>8</v>
      </c>
      <c r="W44" s="15">
        <f>AVERAGE(N44:P44)</f>
        <v>7.4333333333333327</v>
      </c>
      <c r="X44" s="15">
        <f>AVERAGE(O44:Q44)</f>
        <v>7.8</v>
      </c>
      <c r="Y44" s="15">
        <f t="shared" ref="Y44:Y57" si="37">AVERAGE(P44:R44)</f>
        <v>8.2333333333333325</v>
      </c>
      <c r="Z44" s="15">
        <f t="shared" ref="Z44:Z57" si="38">AVERAGE(Q44:S44)</f>
        <v>8.6333333333333346</v>
      </c>
      <c r="AA44" s="15">
        <f t="shared" ref="AA44:AA57" si="39">AVERAGE(R44:T44)</f>
        <v>8.5333333333333332</v>
      </c>
      <c r="AB44" s="15">
        <f t="shared" ref="AB44:AB57" si="40">AVERAGE(S44:U44)</f>
        <v>8.5333333333333332</v>
      </c>
      <c r="AC44" s="7">
        <f t="shared" ref="AC44:AC57" si="41">LINEST(W44:AB44)</f>
        <v>0.23142857142857157</v>
      </c>
      <c r="AD44" s="7">
        <f>U44/AVERAGE(N44:U44)</f>
        <v>0.99224806201550386</v>
      </c>
      <c r="AG44" t="s">
        <v>29</v>
      </c>
      <c r="AH44">
        <v>1262877.6000000001</v>
      </c>
      <c r="AI44">
        <v>1650629.3</v>
      </c>
      <c r="AJ44">
        <v>2011852</v>
      </c>
      <c r="AK44">
        <v>2386729.2999999998</v>
      </c>
      <c r="AL44">
        <v>2800648.8</v>
      </c>
      <c r="AM44">
        <v>3512403.7</v>
      </c>
      <c r="AN44">
        <v>4233735.7</v>
      </c>
      <c r="AO44">
        <v>4962136</v>
      </c>
      <c r="AQ44">
        <v>2</v>
      </c>
      <c r="AR44" t="s">
        <v>29</v>
      </c>
      <c r="AS44" s="7">
        <f t="shared" ref="AS44:AS55" si="42">AS25/AH26</f>
        <v>1.1535912135147128</v>
      </c>
      <c r="AT44" s="7">
        <f t="shared" si="36"/>
        <v>1.2261960176154276</v>
      </c>
      <c r="AU44" s="7">
        <f t="shared" si="36"/>
        <v>1.1885553783487883</v>
      </c>
      <c r="AV44" s="7">
        <f t="shared" si="36"/>
        <v>1.230359974979671</v>
      </c>
      <c r="AW44" s="7">
        <f t="shared" si="36"/>
        <v>1.2457286077661902</v>
      </c>
      <c r="AX44" s="7">
        <f t="shared" si="36"/>
        <v>1.2524376670980402</v>
      </c>
      <c r="AY44" s="7">
        <f t="shared" si="36"/>
        <v>1.2985660194114308</v>
      </c>
      <c r="AZ44" s="7">
        <f t="shared" si="36"/>
        <v>1.3119836800260507</v>
      </c>
      <c r="BA44" s="7"/>
      <c r="BC44" t="s">
        <v>4</v>
      </c>
      <c r="BD44">
        <v>1793.2673606015076</v>
      </c>
      <c r="BE44">
        <v>1495.3257053552124</v>
      </c>
      <c r="BF44">
        <v>1627.9836093962751</v>
      </c>
      <c r="BG44">
        <v>1553.5934495743256</v>
      </c>
      <c r="BH44">
        <v>1619.4059774803452</v>
      </c>
      <c r="BI44">
        <v>2014.1492122298459</v>
      </c>
      <c r="BJ44">
        <v>2289.986143424504</v>
      </c>
      <c r="BK44">
        <v>2414.1117262796542</v>
      </c>
      <c r="BL44" s="7">
        <f t="shared" ref="BL44:BL56" si="43">BK44/(AVERAGE(BD44:BK44))</f>
        <v>1.3042358468096371</v>
      </c>
    </row>
    <row r="45" spans="1:64">
      <c r="A45">
        <v>2</v>
      </c>
      <c r="B45" s="7" t="s">
        <v>4</v>
      </c>
      <c r="C45" s="15">
        <v>2962.5</v>
      </c>
      <c r="D45" s="15">
        <v>3011.7</v>
      </c>
      <c r="E45" s="15">
        <v>3066.9</v>
      </c>
      <c r="F45" s="15">
        <v>3127.7</v>
      </c>
      <c r="G45" s="15">
        <v>3188.1</v>
      </c>
      <c r="H45" s="15">
        <v>3253.5</v>
      </c>
      <c r="I45" s="15">
        <v>3322.7</v>
      </c>
      <c r="J45" s="15">
        <v>3394.4</v>
      </c>
      <c r="K45" s="7">
        <f t="shared" ref="K45:K58" si="44">J45/AVERAGE(C45:J45)</f>
        <v>1.0721626690356332</v>
      </c>
      <c r="M45" s="7" t="s">
        <v>4</v>
      </c>
      <c r="N45">
        <v>5.6</v>
      </c>
      <c r="O45">
        <v>4.8</v>
      </c>
      <c r="P45">
        <v>4.8</v>
      </c>
      <c r="Q45">
        <v>5.6</v>
      </c>
      <c r="R45">
        <v>5.8</v>
      </c>
      <c r="S45">
        <v>6.8</v>
      </c>
      <c r="T45">
        <v>5.7</v>
      </c>
      <c r="U45">
        <v>5.9</v>
      </c>
      <c r="W45" s="15">
        <f t="shared" ref="W45:W57" si="45">AVERAGE(N45:P45)</f>
        <v>5.0666666666666664</v>
      </c>
      <c r="X45" s="15">
        <f t="shared" ref="X45:X57" si="46">AVERAGE(O45:Q45)</f>
        <v>5.0666666666666664</v>
      </c>
      <c r="Y45" s="15">
        <f t="shared" si="37"/>
        <v>5.3999999999999995</v>
      </c>
      <c r="Z45" s="15">
        <f t="shared" si="38"/>
        <v>6.0666666666666664</v>
      </c>
      <c r="AA45" s="15">
        <f t="shared" si="39"/>
        <v>6.1000000000000005</v>
      </c>
      <c r="AB45" s="15">
        <f t="shared" si="40"/>
        <v>6.1333333333333329</v>
      </c>
      <c r="AC45" s="7">
        <f t="shared" si="41"/>
        <v>0.26</v>
      </c>
      <c r="AD45" s="7">
        <f t="shared" ref="AD45:AD57" si="47">U45/AVERAGE(N45:U45)</f>
        <v>1.048888888888889</v>
      </c>
      <c r="AG45" t="s">
        <v>30</v>
      </c>
      <c r="AH45">
        <v>1196003.8999999999</v>
      </c>
      <c r="AI45">
        <v>1494607.7</v>
      </c>
      <c r="AJ45">
        <v>1860282.3</v>
      </c>
      <c r="AK45">
        <v>2136807.2999999998</v>
      </c>
      <c r="AL45">
        <v>2557155.4</v>
      </c>
      <c r="AM45">
        <v>3130908.7</v>
      </c>
      <c r="AN45">
        <v>3764936.2</v>
      </c>
      <c r="AO45">
        <v>4320977.5</v>
      </c>
      <c r="AQ45">
        <v>3</v>
      </c>
      <c r="AR45" t="s">
        <v>30</v>
      </c>
      <c r="AS45" s="7">
        <f t="shared" si="42"/>
        <v>0.97062592020474603</v>
      </c>
      <c r="AT45" s="7">
        <f t="shared" si="36"/>
        <v>1.0232549334860332</v>
      </c>
      <c r="AU45" s="7">
        <f t="shared" si="36"/>
        <v>1.0477601358366946</v>
      </c>
      <c r="AV45" s="7">
        <f t="shared" si="36"/>
        <v>1.0171481800568902</v>
      </c>
      <c r="AW45" s="7">
        <f t="shared" si="36"/>
        <v>1.0988277719855648</v>
      </c>
      <c r="AX45" s="7">
        <f t="shared" si="36"/>
        <v>1.146351590317217</v>
      </c>
      <c r="AY45" s="7">
        <f t="shared" si="36"/>
        <v>1.1885000991380561</v>
      </c>
      <c r="AZ45" s="7">
        <f t="shared" si="36"/>
        <v>1.2161625837428416</v>
      </c>
      <c r="BA45" s="7"/>
      <c r="BC45" t="s">
        <v>5</v>
      </c>
      <c r="BD45">
        <v>2476.3980064145239</v>
      </c>
      <c r="BE45">
        <v>1944.5274327511358</v>
      </c>
      <c r="BF45">
        <v>2194.197075531486</v>
      </c>
      <c r="BG45">
        <v>2082.1780191302905</v>
      </c>
      <c r="BH45">
        <v>2346.6708118097863</v>
      </c>
      <c r="BI45">
        <v>2722.6580287452334</v>
      </c>
      <c r="BJ45">
        <v>2998.1544249936396</v>
      </c>
      <c r="BK45">
        <v>3169.2582670540764</v>
      </c>
      <c r="BL45" s="7">
        <f t="shared" si="43"/>
        <v>1.2718978946638224</v>
      </c>
    </row>
    <row r="46" spans="1:64">
      <c r="A46">
        <v>3</v>
      </c>
      <c r="B46" s="7" t="s">
        <v>5</v>
      </c>
      <c r="C46" s="15">
        <v>1843.5</v>
      </c>
      <c r="D46" s="15">
        <v>1870.2</v>
      </c>
      <c r="E46" s="15">
        <v>1894.8</v>
      </c>
      <c r="F46" s="15">
        <v>1923.9</v>
      </c>
      <c r="G46" s="15">
        <v>1947.1</v>
      </c>
      <c r="H46" s="15">
        <v>1976.8</v>
      </c>
      <c r="I46" s="15">
        <v>2009.7</v>
      </c>
      <c r="J46" s="15">
        <v>2044</v>
      </c>
      <c r="K46" s="7">
        <f t="shared" si="44"/>
        <v>1.0542875564152161</v>
      </c>
      <c r="M46" s="7" t="s">
        <v>5</v>
      </c>
      <c r="N46">
        <v>9.6999999999999993</v>
      </c>
      <c r="O46">
        <v>7.7</v>
      </c>
      <c r="P46">
        <v>7.4</v>
      </c>
      <c r="Q46">
        <v>8</v>
      </c>
      <c r="R46">
        <v>8.5</v>
      </c>
      <c r="S46">
        <v>10</v>
      </c>
      <c r="T46">
        <v>9.5</v>
      </c>
      <c r="U46">
        <v>9.9</v>
      </c>
      <c r="W46" s="15">
        <f t="shared" si="45"/>
        <v>8.2666666666666657</v>
      </c>
      <c r="X46" s="15">
        <f t="shared" si="46"/>
        <v>7.7</v>
      </c>
      <c r="Y46" s="15">
        <f t="shared" si="37"/>
        <v>7.9666666666666659</v>
      </c>
      <c r="Z46" s="15">
        <f t="shared" si="38"/>
        <v>8.8333333333333339</v>
      </c>
      <c r="AA46" s="15">
        <f t="shared" si="39"/>
        <v>9.3333333333333339</v>
      </c>
      <c r="AB46" s="15">
        <f t="shared" si="40"/>
        <v>9.7999999999999989</v>
      </c>
      <c r="AC46" s="7">
        <f t="shared" si="41"/>
        <v>0.38380952380952388</v>
      </c>
      <c r="AD46" s="7">
        <f t="shared" si="47"/>
        <v>1.1202263083451203</v>
      </c>
      <c r="AG46" t="s">
        <v>31</v>
      </c>
      <c r="AH46">
        <v>1355407.8</v>
      </c>
      <c r="AI46">
        <v>1612552.6</v>
      </c>
      <c r="AJ46">
        <v>2000859.8</v>
      </c>
      <c r="AK46">
        <v>2319592.9</v>
      </c>
      <c r="AL46">
        <v>2688064.2</v>
      </c>
      <c r="AM46">
        <v>3171507.1</v>
      </c>
      <c r="AN46">
        <v>3735115</v>
      </c>
      <c r="AO46">
        <v>4275487.4000000004</v>
      </c>
      <c r="AQ46">
        <v>4</v>
      </c>
      <c r="AR46" t="s">
        <v>31</v>
      </c>
      <c r="AS46" s="7">
        <f t="shared" si="42"/>
        <v>1.2574586845001994</v>
      </c>
      <c r="AT46" s="7">
        <f t="shared" si="36"/>
        <v>1.2472957576310739</v>
      </c>
      <c r="AU46" s="7">
        <f t="shared" si="36"/>
        <v>1.2575278939670695</v>
      </c>
      <c r="AV46" s="7">
        <f t="shared" si="36"/>
        <v>1.2742606741219971</v>
      </c>
      <c r="AW46" s="7">
        <f t="shared" si="36"/>
        <v>1.2720429292877906</v>
      </c>
      <c r="AX46" s="7">
        <f t="shared" si="36"/>
        <v>1.253725184133927</v>
      </c>
      <c r="AY46" s="7">
        <f t="shared" si="36"/>
        <v>1.2685696232746118</v>
      </c>
      <c r="AZ46" s="7">
        <f t="shared" si="36"/>
        <v>1.2757883980765152</v>
      </c>
      <c r="BA46" s="7"/>
      <c r="BC46" t="s">
        <v>6</v>
      </c>
      <c r="BD46">
        <v>1945.0021475861897</v>
      </c>
      <c r="BE46">
        <v>1599.6321067356387</v>
      </c>
      <c r="BF46">
        <v>1765.1720465693713</v>
      </c>
      <c r="BG46">
        <v>1705.859376054588</v>
      </c>
      <c r="BH46">
        <v>1965.9726197128794</v>
      </c>
      <c r="BI46">
        <v>2188.9978254300713</v>
      </c>
      <c r="BJ46">
        <v>2492.6934416506879</v>
      </c>
      <c r="BK46">
        <v>2585.7712219585069</v>
      </c>
      <c r="BL46" s="7">
        <f t="shared" si="43"/>
        <v>1.2730655098081194</v>
      </c>
    </row>
    <row r="47" spans="1:64">
      <c r="A47">
        <v>4</v>
      </c>
      <c r="B47" s="7" t="s">
        <v>6</v>
      </c>
      <c r="C47" s="15">
        <v>1301</v>
      </c>
      <c r="D47" s="15">
        <v>1325</v>
      </c>
      <c r="E47" s="15">
        <v>1352.4</v>
      </c>
      <c r="F47" s="15">
        <v>1382.1</v>
      </c>
      <c r="G47" s="15">
        <v>1410.5</v>
      </c>
      <c r="H47" s="15">
        <v>1443.4</v>
      </c>
      <c r="I47" s="15">
        <v>1475.5</v>
      </c>
      <c r="J47" s="15">
        <v>1507.4</v>
      </c>
      <c r="K47" s="7">
        <f t="shared" si="44"/>
        <v>1.0769739133541123</v>
      </c>
      <c r="M47" s="7" t="s">
        <v>6</v>
      </c>
      <c r="N47">
        <v>8.1</v>
      </c>
      <c r="O47">
        <v>5.7</v>
      </c>
      <c r="P47">
        <v>7.2</v>
      </c>
      <c r="Q47">
        <v>6.6</v>
      </c>
      <c r="R47">
        <v>5.9</v>
      </c>
      <c r="S47">
        <v>7</v>
      </c>
      <c r="T47">
        <v>6.4</v>
      </c>
      <c r="U47">
        <v>6.2</v>
      </c>
      <c r="W47" s="15">
        <f t="shared" si="45"/>
        <v>7</v>
      </c>
      <c r="X47" s="15">
        <f t="shared" si="46"/>
        <v>6.5</v>
      </c>
      <c r="Y47" s="15">
        <f t="shared" si="37"/>
        <v>6.5666666666666673</v>
      </c>
      <c r="Z47" s="15">
        <f t="shared" si="38"/>
        <v>6.5</v>
      </c>
      <c r="AA47" s="15">
        <f t="shared" si="39"/>
        <v>6.4333333333333336</v>
      </c>
      <c r="AB47" s="15">
        <f t="shared" si="40"/>
        <v>6.5333333333333341</v>
      </c>
      <c r="AC47" s="7">
        <f t="shared" si="41"/>
        <v>-7.4285714285714191E-2</v>
      </c>
      <c r="AD47" s="7">
        <f t="shared" si="47"/>
        <v>0.93408662900188322</v>
      </c>
      <c r="AG47" t="s">
        <v>32</v>
      </c>
      <c r="AH47">
        <v>1374449.6</v>
      </c>
      <c r="AI47">
        <v>1653357.7</v>
      </c>
      <c r="AJ47">
        <v>1943364.9</v>
      </c>
      <c r="AK47">
        <v>2278504.9</v>
      </c>
      <c r="AL47">
        <v>2872947.8</v>
      </c>
      <c r="AM47">
        <v>3346631.2</v>
      </c>
      <c r="AN47">
        <v>3926965.2</v>
      </c>
      <c r="AO47">
        <v>4356873.0999999996</v>
      </c>
      <c r="AQ47">
        <v>5</v>
      </c>
      <c r="AR47" t="s">
        <v>32</v>
      </c>
      <c r="AS47" s="7">
        <f t="shared" si="42"/>
        <v>1.2131367447218675</v>
      </c>
      <c r="AT47" s="7">
        <f t="shared" si="36"/>
        <v>1.1272701773160765</v>
      </c>
      <c r="AU47" s="7">
        <f t="shared" si="36"/>
        <v>1.1296867018871293</v>
      </c>
      <c r="AV47" s="7">
        <f t="shared" si="36"/>
        <v>1.2420125302087486</v>
      </c>
      <c r="AW47" s="7">
        <f t="shared" si="36"/>
        <v>1.3335381563855102</v>
      </c>
      <c r="AX47" s="7">
        <f t="shared" si="36"/>
        <v>1.2920643104285869</v>
      </c>
      <c r="AY47" s="7">
        <f t="shared" si="36"/>
        <v>1.3356062762419454</v>
      </c>
      <c r="AZ47" s="7">
        <f t="shared" si="36"/>
        <v>1.3389868992127776</v>
      </c>
      <c r="BA47" s="7"/>
      <c r="BC47" t="s">
        <v>7</v>
      </c>
      <c r="BD47">
        <v>2026.8727717737411</v>
      </c>
      <c r="BE47">
        <v>1399.7568822911689</v>
      </c>
      <c r="BF47">
        <v>1491.0557031778328</v>
      </c>
      <c r="BG47">
        <v>1377.7257763165551</v>
      </c>
      <c r="BH47">
        <v>1520.3012875800346</v>
      </c>
      <c r="BI47">
        <v>1759.2767542378567</v>
      </c>
      <c r="BJ47">
        <v>1939.532729116341</v>
      </c>
      <c r="BK47">
        <v>2050.6504642756436</v>
      </c>
      <c r="BL47" s="7">
        <f t="shared" si="43"/>
        <v>1.2093619799461246</v>
      </c>
    </row>
    <row r="48" spans="1:64">
      <c r="A48">
        <v>5</v>
      </c>
      <c r="B48" s="7" t="s">
        <v>7</v>
      </c>
      <c r="C48" s="15">
        <v>3088.8</v>
      </c>
      <c r="D48" s="15">
        <v>3148.4</v>
      </c>
      <c r="E48" s="15">
        <v>3213.1</v>
      </c>
      <c r="F48" s="15">
        <v>3280.4</v>
      </c>
      <c r="G48" s="15">
        <v>3335.4</v>
      </c>
      <c r="H48" s="15">
        <v>3408.3</v>
      </c>
      <c r="I48" s="15">
        <v>3482.3</v>
      </c>
      <c r="J48" s="15">
        <v>3560.6</v>
      </c>
      <c r="K48" s="7">
        <f t="shared" si="44"/>
        <v>1.074196845078496</v>
      </c>
      <c r="M48" s="7" t="s">
        <v>7</v>
      </c>
      <c r="N48">
        <v>7.6</v>
      </c>
      <c r="O48">
        <v>6.5</v>
      </c>
      <c r="P48">
        <v>6.4</v>
      </c>
      <c r="Q48">
        <v>6.2</v>
      </c>
      <c r="R48">
        <v>6.6</v>
      </c>
      <c r="S48">
        <v>7.9</v>
      </c>
      <c r="T48">
        <v>8.1</v>
      </c>
      <c r="U48">
        <v>8</v>
      </c>
      <c r="W48" s="15">
        <f t="shared" si="45"/>
        <v>6.833333333333333</v>
      </c>
      <c r="X48" s="15">
        <f t="shared" si="46"/>
        <v>6.3666666666666671</v>
      </c>
      <c r="Y48" s="15">
        <f t="shared" si="37"/>
        <v>6.4000000000000012</v>
      </c>
      <c r="Z48" s="15">
        <f t="shared" si="38"/>
        <v>6.9000000000000012</v>
      </c>
      <c r="AA48" s="15">
        <f t="shared" si="39"/>
        <v>7.5333333333333341</v>
      </c>
      <c r="AB48" s="15">
        <f t="shared" si="40"/>
        <v>8</v>
      </c>
      <c r="AC48" s="7">
        <f t="shared" si="41"/>
        <v>0.28095238095238101</v>
      </c>
      <c r="AD48" s="7">
        <f t="shared" si="47"/>
        <v>1.1169284467713787</v>
      </c>
      <c r="AG48" t="s">
        <v>33</v>
      </c>
      <c r="AH48">
        <v>1858362.5</v>
      </c>
      <c r="AI48">
        <v>2261668.1</v>
      </c>
      <c r="AJ48">
        <v>2773511.5</v>
      </c>
      <c r="AK48">
        <v>3310312.8</v>
      </c>
      <c r="AL48">
        <v>4667251.4000000004</v>
      </c>
      <c r="AM48">
        <v>4851353.5999999996</v>
      </c>
      <c r="AN48">
        <v>5730690.0999999996</v>
      </c>
      <c r="AO48">
        <v>6469941.7000000002</v>
      </c>
      <c r="AQ48">
        <v>6</v>
      </c>
      <c r="AR48" t="s">
        <v>33</v>
      </c>
      <c r="AS48" s="7">
        <f t="shared" si="42"/>
        <v>1.0930452358346796</v>
      </c>
      <c r="AT48" s="7">
        <f t="shared" si="36"/>
        <v>1.1309323845708383</v>
      </c>
      <c r="AU48" s="7">
        <f t="shared" si="36"/>
        <v>1.1326673214478968</v>
      </c>
      <c r="AV48" s="7">
        <f t="shared" si="36"/>
        <v>1.1542640394845129</v>
      </c>
      <c r="AW48" s="7">
        <f t="shared" si="36"/>
        <v>1.2501535889127129</v>
      </c>
      <c r="AX48" s="7">
        <f t="shared" si="36"/>
        <v>1.1325046894789228</v>
      </c>
      <c r="AY48" s="7">
        <f t="shared" si="36"/>
        <v>1.1454038848340542</v>
      </c>
      <c r="AZ48" s="7">
        <f t="shared" si="36"/>
        <v>1.1415274618430422</v>
      </c>
      <c r="BA48" s="7"/>
      <c r="BC48" t="s">
        <v>8</v>
      </c>
      <c r="BD48">
        <v>4175.6005168445727</v>
      </c>
      <c r="BE48">
        <v>3927.612896136347</v>
      </c>
      <c r="BF48">
        <v>5498.5439485723437</v>
      </c>
      <c r="BG48">
        <v>6382.6555355449027</v>
      </c>
      <c r="BH48">
        <v>6903.5034304091896</v>
      </c>
      <c r="BI48">
        <v>7245.1688838834689</v>
      </c>
      <c r="BJ48">
        <v>8222.7631460062767</v>
      </c>
      <c r="BK48">
        <v>9874.747166791929</v>
      </c>
      <c r="BL48" s="7">
        <f t="shared" si="43"/>
        <v>1.5124847140169</v>
      </c>
    </row>
    <row r="49" spans="1:64">
      <c r="A49">
        <v>6</v>
      </c>
      <c r="B49" s="7" t="s">
        <v>8</v>
      </c>
      <c r="C49" s="15">
        <v>942.8</v>
      </c>
      <c r="D49" s="15">
        <v>958</v>
      </c>
      <c r="E49" s="15">
        <v>979.5</v>
      </c>
      <c r="F49" s="15">
        <v>997.1</v>
      </c>
      <c r="G49" s="15">
        <v>1013.6</v>
      </c>
      <c r="H49" s="15">
        <v>1033.9000000000001</v>
      </c>
      <c r="I49" s="15">
        <v>1055.5</v>
      </c>
      <c r="J49" s="15">
        <v>1075.3</v>
      </c>
      <c r="K49" s="7">
        <f t="shared" si="44"/>
        <v>1.0678649900070758</v>
      </c>
      <c r="M49" s="7" t="s">
        <v>8</v>
      </c>
      <c r="N49">
        <v>4.8</v>
      </c>
      <c r="O49">
        <v>4.5</v>
      </c>
      <c r="P49">
        <v>4.2</v>
      </c>
      <c r="Q49">
        <v>3.4</v>
      </c>
      <c r="R49">
        <v>3.8</v>
      </c>
      <c r="S49">
        <v>4.9000000000000004</v>
      </c>
      <c r="T49">
        <v>4.7</v>
      </c>
      <c r="U49">
        <v>4.2</v>
      </c>
      <c r="W49" s="15">
        <f t="shared" si="45"/>
        <v>4.5</v>
      </c>
      <c r="X49" s="15">
        <f t="shared" si="46"/>
        <v>4.0333333333333332</v>
      </c>
      <c r="Y49" s="15">
        <f t="shared" si="37"/>
        <v>3.7999999999999994</v>
      </c>
      <c r="Z49" s="15">
        <f t="shared" si="38"/>
        <v>4.0333333333333332</v>
      </c>
      <c r="AA49" s="15">
        <f t="shared" si="39"/>
        <v>4.4666666666666659</v>
      </c>
      <c r="AB49" s="15">
        <f t="shared" si="40"/>
        <v>4.6000000000000005</v>
      </c>
      <c r="AC49" s="7">
        <f t="shared" si="41"/>
        <v>5.8095238095238137E-2</v>
      </c>
      <c r="AD49" s="7">
        <f t="shared" si="47"/>
        <v>0.97391304347826091</v>
      </c>
      <c r="AG49" t="s">
        <v>34</v>
      </c>
      <c r="AH49">
        <v>1152181.1000000001</v>
      </c>
      <c r="AI49">
        <v>1448659.8</v>
      </c>
      <c r="AJ49">
        <v>1810491.3</v>
      </c>
      <c r="AK49">
        <v>2046139.9</v>
      </c>
      <c r="AL49">
        <v>2414146.2999999998</v>
      </c>
      <c r="AM49">
        <v>2917843.9</v>
      </c>
      <c r="AN49">
        <v>3372014.3</v>
      </c>
      <c r="AO49">
        <v>3835912.4</v>
      </c>
      <c r="AQ49">
        <v>7</v>
      </c>
      <c r="AR49" t="s">
        <v>34</v>
      </c>
      <c r="AS49" s="7">
        <f t="shared" si="42"/>
        <v>1.1381445903955694</v>
      </c>
      <c r="AT49" s="7">
        <f t="shared" si="36"/>
        <v>1.1656208348336146</v>
      </c>
      <c r="AU49" s="7">
        <f t="shared" si="36"/>
        <v>1.1601816441144128</v>
      </c>
      <c r="AV49" s="7">
        <f t="shared" si="36"/>
        <v>1.2007158617452027</v>
      </c>
      <c r="AW49" s="7">
        <f t="shared" si="36"/>
        <v>1.2146038151140888</v>
      </c>
      <c r="AX49" s="7">
        <f t="shared" si="36"/>
        <v>1.1487535514643532</v>
      </c>
      <c r="AY49" s="7">
        <f t="shared" si="36"/>
        <v>1.2102076128913983</v>
      </c>
      <c r="AZ49" s="7">
        <f t="shared" si="36"/>
        <v>1.2098828109007758</v>
      </c>
      <c r="BA49" s="7"/>
      <c r="BC49" t="s">
        <v>9</v>
      </c>
      <c r="BD49">
        <v>1512.2771896089218</v>
      </c>
      <c r="BE49">
        <v>1161.3931858463741</v>
      </c>
      <c r="BF49">
        <v>1283.4567753923004</v>
      </c>
      <c r="BG49">
        <v>1267.3006892411047</v>
      </c>
      <c r="BH49">
        <v>1707.6281374904838</v>
      </c>
      <c r="BI49">
        <v>1722.1219587410842</v>
      </c>
      <c r="BJ49">
        <v>1909.4096179788285</v>
      </c>
      <c r="BK49">
        <v>2034.6870477661403</v>
      </c>
      <c r="BL49" s="7">
        <f t="shared" si="43"/>
        <v>1.2920417197018985</v>
      </c>
    </row>
    <row r="50" spans="1:64">
      <c r="A50">
        <v>7</v>
      </c>
      <c r="B50" s="7" t="s">
        <v>9</v>
      </c>
      <c r="C50" s="15">
        <v>2652.4</v>
      </c>
      <c r="D50" s="15">
        <v>2699.6</v>
      </c>
      <c r="E50" s="15">
        <v>2752.9</v>
      </c>
      <c r="F50" s="15">
        <v>2810.8</v>
      </c>
      <c r="G50" s="15">
        <v>2867.5</v>
      </c>
      <c r="H50" s="15">
        <v>2931.1</v>
      </c>
      <c r="I50" s="15">
        <v>2997.5</v>
      </c>
      <c r="J50" s="15">
        <v>3066.1</v>
      </c>
      <c r="K50" s="7">
        <f t="shared" si="44"/>
        <v>1.0768683680233913</v>
      </c>
      <c r="M50" s="7" t="s">
        <v>9</v>
      </c>
      <c r="N50">
        <v>6.8</v>
      </c>
      <c r="O50">
        <v>5.5</v>
      </c>
      <c r="P50">
        <v>6.7</v>
      </c>
      <c r="Q50">
        <v>7.5</v>
      </c>
      <c r="R50">
        <v>7.3</v>
      </c>
      <c r="S50">
        <v>8.8000000000000007</v>
      </c>
      <c r="T50">
        <v>8</v>
      </c>
      <c r="U50">
        <v>8</v>
      </c>
      <c r="W50" s="15">
        <f t="shared" si="45"/>
        <v>6.333333333333333</v>
      </c>
      <c r="X50" s="15">
        <f t="shared" si="46"/>
        <v>6.5666666666666664</v>
      </c>
      <c r="Y50" s="15">
        <f t="shared" si="37"/>
        <v>7.166666666666667</v>
      </c>
      <c r="Z50" s="15">
        <f t="shared" si="38"/>
        <v>7.8666666666666671</v>
      </c>
      <c r="AA50" s="15">
        <f t="shared" si="39"/>
        <v>8.0333333333333332</v>
      </c>
      <c r="AB50" s="15">
        <f t="shared" si="40"/>
        <v>8.2666666666666675</v>
      </c>
      <c r="AC50" s="7">
        <f t="shared" si="41"/>
        <v>0.421904761904762</v>
      </c>
      <c r="AD50" s="7">
        <f t="shared" si="47"/>
        <v>1.0921501706484642</v>
      </c>
      <c r="AG50" t="s">
        <v>35</v>
      </c>
      <c r="AH50">
        <v>1234918.1000000001</v>
      </c>
      <c r="AI50">
        <v>1467644</v>
      </c>
      <c r="AJ50">
        <v>1829926.8</v>
      </c>
      <c r="AK50">
        <v>2135780.7999999998</v>
      </c>
      <c r="AL50">
        <v>2562051</v>
      </c>
      <c r="AM50">
        <v>3108173</v>
      </c>
      <c r="AN50">
        <v>3652090.3</v>
      </c>
      <c r="AO50">
        <v>4266721.0999999996</v>
      </c>
      <c r="AQ50">
        <v>8</v>
      </c>
      <c r="AR50" t="s">
        <v>35</v>
      </c>
      <c r="AS50" s="7">
        <f t="shared" si="42"/>
        <v>1.2422239919639375</v>
      </c>
      <c r="AT50" s="7">
        <f t="shared" si="36"/>
        <v>1.1958735938558256</v>
      </c>
      <c r="AU50" s="7">
        <f t="shared" si="36"/>
        <v>1.1750625569253892</v>
      </c>
      <c r="AV50" s="7">
        <f t="shared" si="36"/>
        <v>1.2318341614942299</v>
      </c>
      <c r="AW50" s="7">
        <f t="shared" si="36"/>
        <v>1.27142042724037</v>
      </c>
      <c r="AX50" s="7">
        <f t="shared" si="36"/>
        <v>1.2682211466880113</v>
      </c>
      <c r="AY50" s="7">
        <f t="shared" si="36"/>
        <v>1.2798820448939419</v>
      </c>
      <c r="AZ50" s="7">
        <f t="shared" si="36"/>
        <v>1.2839199860038457</v>
      </c>
      <c r="BA50" s="7"/>
      <c r="BC50" t="s">
        <v>10</v>
      </c>
      <c r="BD50">
        <v>1936.862175533475</v>
      </c>
      <c r="BE50">
        <v>1464.3643849782807</v>
      </c>
      <c r="BF50">
        <v>1517.2045923677015</v>
      </c>
      <c r="BG50">
        <v>1418.5473749752528</v>
      </c>
      <c r="BH50">
        <v>1596.3676288292686</v>
      </c>
      <c r="BI50">
        <v>1780.5835421953993</v>
      </c>
      <c r="BJ50">
        <v>1986.4782688406128</v>
      </c>
      <c r="BK50">
        <v>2148.1100271712821</v>
      </c>
      <c r="BL50" s="7">
        <f t="shared" si="43"/>
        <v>1.2409183584633223</v>
      </c>
    </row>
    <row r="51" spans="1:64">
      <c r="A51">
        <v>8</v>
      </c>
      <c r="B51" s="7" t="s">
        <v>10</v>
      </c>
      <c r="C51" s="15">
        <v>3651.7</v>
      </c>
      <c r="D51" s="15">
        <v>3720.1</v>
      </c>
      <c r="E51" s="15">
        <v>3798.9</v>
      </c>
      <c r="F51" s="15">
        <v>3877.4</v>
      </c>
      <c r="G51" s="15">
        <v>3947.7</v>
      </c>
      <c r="H51" s="15">
        <v>4031.3</v>
      </c>
      <c r="I51" s="15">
        <v>4118.2</v>
      </c>
      <c r="J51" s="15">
        <v>4208.5</v>
      </c>
      <c r="K51" s="7">
        <f t="shared" si="44"/>
        <v>1.0738092352442128</v>
      </c>
      <c r="M51" s="7" t="s">
        <v>10</v>
      </c>
      <c r="N51">
        <v>5.9</v>
      </c>
      <c r="O51">
        <v>4.5999999999999996</v>
      </c>
      <c r="P51">
        <v>5.3</v>
      </c>
      <c r="Q51">
        <v>5.9</v>
      </c>
      <c r="R51">
        <v>6.1</v>
      </c>
      <c r="S51">
        <v>6.5</v>
      </c>
      <c r="T51">
        <v>6.2</v>
      </c>
      <c r="U51">
        <v>5.9</v>
      </c>
      <c r="W51" s="15">
        <f t="shared" si="45"/>
        <v>5.2666666666666666</v>
      </c>
      <c r="X51" s="15">
        <f t="shared" si="46"/>
        <v>5.2666666666666666</v>
      </c>
      <c r="Y51" s="15">
        <f t="shared" si="37"/>
        <v>5.7666666666666657</v>
      </c>
      <c r="Z51" s="15">
        <f t="shared" si="38"/>
        <v>6.166666666666667</v>
      </c>
      <c r="AA51" s="15">
        <f t="shared" si="39"/>
        <v>6.2666666666666666</v>
      </c>
      <c r="AB51" s="15">
        <f t="shared" si="40"/>
        <v>6.2</v>
      </c>
      <c r="AC51" s="7">
        <f t="shared" si="41"/>
        <v>0.23047619047619056</v>
      </c>
      <c r="AD51" s="7">
        <f t="shared" si="47"/>
        <v>1.0172413793103448</v>
      </c>
      <c r="AG51" t="s">
        <v>36</v>
      </c>
      <c r="AH51">
        <v>1288959.6000000001</v>
      </c>
      <c r="AI51">
        <v>1621110.1</v>
      </c>
      <c r="AJ51">
        <v>2025825.8</v>
      </c>
      <c r="AK51">
        <v>2290814.6</v>
      </c>
      <c r="AL51">
        <v>2800376.7</v>
      </c>
      <c r="AM51">
        <v>3408289.5</v>
      </c>
      <c r="AN51">
        <v>4115268.3</v>
      </c>
      <c r="AO51">
        <v>4660829.5999999996</v>
      </c>
      <c r="AQ51">
        <v>9</v>
      </c>
      <c r="AR51" t="s">
        <v>36</v>
      </c>
      <c r="AS51" s="7">
        <f t="shared" si="42"/>
        <v>1.2125736445207782</v>
      </c>
      <c r="AT51" s="7">
        <f t="shared" si="36"/>
        <v>1.2457985779648644</v>
      </c>
      <c r="AU51" s="7">
        <f t="shared" si="36"/>
        <v>1.2585181234117297</v>
      </c>
      <c r="AV51" s="7">
        <f t="shared" si="36"/>
        <v>1.2546956856554932</v>
      </c>
      <c r="AW51" s="7">
        <f t="shared" si="36"/>
        <v>1.3444106349315776</v>
      </c>
      <c r="AX51" s="7">
        <f t="shared" si="36"/>
        <v>1.3470655554952167</v>
      </c>
      <c r="AY51" s="7">
        <f t="shared" si="36"/>
        <v>1.3910382079593295</v>
      </c>
      <c r="AZ51" s="7">
        <f t="shared" si="36"/>
        <v>1.4284329101276285</v>
      </c>
      <c r="BA51" s="7"/>
      <c r="BC51" t="s">
        <v>11</v>
      </c>
      <c r="BD51">
        <v>1539.2735813187867</v>
      </c>
      <c r="BE51">
        <v>1232.642396480361</v>
      </c>
      <c r="BF51">
        <v>1289.4632296366331</v>
      </c>
      <c r="BG51">
        <v>1197.4612173503103</v>
      </c>
      <c r="BH51">
        <v>1319.6735621178859</v>
      </c>
      <c r="BI51">
        <v>1486.8894438270841</v>
      </c>
      <c r="BJ51">
        <v>1647.6199037884928</v>
      </c>
      <c r="BK51">
        <v>1710.1850904150283</v>
      </c>
      <c r="BL51" s="7">
        <f t="shared" si="43"/>
        <v>1.1976915954239518</v>
      </c>
    </row>
    <row r="52" spans="1:64">
      <c r="A52">
        <v>9</v>
      </c>
      <c r="B52" s="7" t="s">
        <v>11</v>
      </c>
      <c r="C52" s="15">
        <v>2462.3000000000002</v>
      </c>
      <c r="D52" s="15">
        <v>2514.1999999999998</v>
      </c>
      <c r="E52" s="15">
        <v>2569.9</v>
      </c>
      <c r="F52" s="15">
        <v>2629.1</v>
      </c>
      <c r="G52" s="15">
        <v>2680.8</v>
      </c>
      <c r="H52" s="15">
        <v>2743.2</v>
      </c>
      <c r="I52" s="15">
        <v>2806.5</v>
      </c>
      <c r="J52" s="15">
        <v>2877.1</v>
      </c>
      <c r="K52" s="7">
        <f t="shared" si="44"/>
        <v>1.0814589979843163</v>
      </c>
      <c r="M52" s="7" t="s">
        <v>11</v>
      </c>
      <c r="N52">
        <v>7.7</v>
      </c>
      <c r="O52">
        <v>6.9</v>
      </c>
      <c r="P52">
        <v>8</v>
      </c>
      <c r="Q52">
        <v>8.6</v>
      </c>
      <c r="R52">
        <v>8.6999999999999993</v>
      </c>
      <c r="S52">
        <v>10.6</v>
      </c>
      <c r="T52">
        <v>9.9</v>
      </c>
      <c r="U52">
        <v>9.4</v>
      </c>
      <c r="W52" s="15">
        <f t="shared" si="45"/>
        <v>7.5333333333333341</v>
      </c>
      <c r="X52" s="15">
        <f t="shared" si="46"/>
        <v>7.833333333333333</v>
      </c>
      <c r="Y52" s="15">
        <f t="shared" si="37"/>
        <v>8.4333333333333336</v>
      </c>
      <c r="Z52" s="15">
        <f t="shared" si="38"/>
        <v>9.2999999999999989</v>
      </c>
      <c r="AA52" s="15">
        <f t="shared" si="39"/>
        <v>9.7333333333333325</v>
      </c>
      <c r="AB52" s="15">
        <f t="shared" si="40"/>
        <v>9.9666666666666668</v>
      </c>
      <c r="AC52" s="7">
        <f t="shared" si="41"/>
        <v>0.53523809523809507</v>
      </c>
      <c r="AD52" s="7">
        <f t="shared" si="47"/>
        <v>1.0773638968481374</v>
      </c>
      <c r="AG52" t="s">
        <v>37</v>
      </c>
      <c r="AH52">
        <v>1220202.5</v>
      </c>
      <c r="AI52">
        <v>1456047.3</v>
      </c>
      <c r="AJ52">
        <v>1907649.1</v>
      </c>
      <c r="AK52">
        <v>2154592.1</v>
      </c>
      <c r="AL52">
        <v>2615350</v>
      </c>
      <c r="AM52">
        <v>3153187.9</v>
      </c>
      <c r="AN52">
        <v>3568376.9</v>
      </c>
      <c r="AO52">
        <v>4185422.6</v>
      </c>
      <c r="AQ52">
        <v>10</v>
      </c>
      <c r="AR52" t="s">
        <v>37</v>
      </c>
      <c r="AS52" s="7">
        <f t="shared" si="42"/>
        <v>1.0509434355530629</v>
      </c>
      <c r="AT52" s="7">
        <f t="shared" si="36"/>
        <v>1.0608108265633556</v>
      </c>
      <c r="AU52" s="7">
        <f t="shared" si="36"/>
        <v>1.1063730983106903</v>
      </c>
      <c r="AV52" s="7">
        <f t="shared" si="36"/>
        <v>1.1050614935689655</v>
      </c>
      <c r="AW52" s="7">
        <f t="shared" si="36"/>
        <v>1.1545261278001071</v>
      </c>
      <c r="AX52" s="7">
        <f t="shared" si="36"/>
        <v>1.1869652481200539</v>
      </c>
      <c r="AY52" s="7">
        <f t="shared" si="36"/>
        <v>1.1667106752625329</v>
      </c>
      <c r="AZ52" s="7">
        <f t="shared" si="36"/>
        <v>1.1812939414263244</v>
      </c>
      <c r="BA52" s="7"/>
      <c r="BC52" t="s">
        <v>12</v>
      </c>
      <c r="BD52">
        <v>2215.421633294588</v>
      </c>
      <c r="BE52">
        <v>1743.2058572423773</v>
      </c>
      <c r="BF52">
        <v>2125.6973814510502</v>
      </c>
      <c r="BG52">
        <v>1934.1772991275543</v>
      </c>
      <c r="BH52">
        <v>2085.8241797004421</v>
      </c>
      <c r="BI52">
        <v>2386.9024686956704</v>
      </c>
      <c r="BJ52">
        <v>2633.7520053098474</v>
      </c>
      <c r="BK52">
        <v>2773.5039016068818</v>
      </c>
      <c r="BL52" s="7">
        <f t="shared" si="43"/>
        <v>1.2396597562302476</v>
      </c>
    </row>
    <row r="53" spans="1:64">
      <c r="A53">
        <v>10</v>
      </c>
      <c r="B53" s="7" t="s">
        <v>12</v>
      </c>
      <c r="C53" s="15">
        <v>803.1</v>
      </c>
      <c r="D53" s="15">
        <v>815.9</v>
      </c>
      <c r="E53" s="15">
        <v>829.9</v>
      </c>
      <c r="F53" s="15">
        <v>846.3</v>
      </c>
      <c r="G53" s="15">
        <v>860.9</v>
      </c>
      <c r="H53" s="15">
        <v>878.6</v>
      </c>
      <c r="I53" s="15">
        <v>896.6</v>
      </c>
      <c r="J53" s="15">
        <v>914</v>
      </c>
      <c r="K53" s="7">
        <f t="shared" si="44"/>
        <v>1.0681781660409331</v>
      </c>
      <c r="M53" s="7" t="s">
        <v>12</v>
      </c>
      <c r="N53">
        <v>4.9000000000000004</v>
      </c>
      <c r="O53">
        <v>5.5</v>
      </c>
      <c r="P53">
        <v>7.6</v>
      </c>
      <c r="Q53">
        <v>8.5</v>
      </c>
      <c r="R53">
        <v>7.9</v>
      </c>
      <c r="S53">
        <v>8.6999999999999993</v>
      </c>
      <c r="T53">
        <v>8.1999999999999993</v>
      </c>
      <c r="U53">
        <v>7.6</v>
      </c>
      <c r="W53" s="15">
        <f t="shared" si="45"/>
        <v>6</v>
      </c>
      <c r="X53" s="15">
        <f t="shared" si="46"/>
        <v>7.2</v>
      </c>
      <c r="Y53" s="15">
        <f t="shared" si="37"/>
        <v>8</v>
      </c>
      <c r="Z53" s="15">
        <f t="shared" si="38"/>
        <v>8.3666666666666654</v>
      </c>
      <c r="AA53" s="15">
        <f t="shared" si="39"/>
        <v>8.2666666666666675</v>
      </c>
      <c r="AB53" s="15">
        <f t="shared" si="40"/>
        <v>8.1666666666666661</v>
      </c>
      <c r="AC53" s="7">
        <f t="shared" si="41"/>
        <v>0.41142857142857148</v>
      </c>
      <c r="AD53" s="7">
        <f t="shared" si="47"/>
        <v>1.032258064516129</v>
      </c>
      <c r="AG53" t="s">
        <v>40</v>
      </c>
      <c r="AH53">
        <v>1243810.2</v>
      </c>
      <c r="AI53">
        <v>1563399</v>
      </c>
      <c r="AJ53">
        <v>2004582.9</v>
      </c>
      <c r="AK53">
        <v>2370454.1</v>
      </c>
      <c r="AL53">
        <v>2883414.5</v>
      </c>
      <c r="AM53">
        <v>3507518.7</v>
      </c>
      <c r="AN53">
        <v>4196869.2</v>
      </c>
      <c r="AO53">
        <v>4918951.5999999996</v>
      </c>
      <c r="AQ53">
        <v>11</v>
      </c>
      <c r="AR53" t="s">
        <v>39</v>
      </c>
      <c r="AS53" s="7">
        <f t="shared" si="42"/>
        <v>0.92182344050323461</v>
      </c>
      <c r="AT53" s="7">
        <f t="shared" si="36"/>
        <v>1.0650643147453125</v>
      </c>
      <c r="AU53" s="7">
        <f t="shared" si="36"/>
        <v>1.1215461860215741</v>
      </c>
      <c r="AV53" s="7">
        <f t="shared" si="36"/>
        <v>1.2707388814067737</v>
      </c>
      <c r="AW53" s="7">
        <f t="shared" si="36"/>
        <v>1.2667549396871933</v>
      </c>
      <c r="AX53" s="7">
        <f t="shared" si="36"/>
        <v>1.3332422574709226</v>
      </c>
      <c r="AY53" s="7">
        <f t="shared" si="36"/>
        <v>1.4295767214738158</v>
      </c>
      <c r="AZ53" s="7">
        <f t="shared" si="36"/>
        <v>1.4140017368779605</v>
      </c>
      <c r="BA53" s="7"/>
      <c r="BC53" t="s">
        <v>13</v>
      </c>
      <c r="BD53">
        <v>2722.5461548310445</v>
      </c>
      <c r="BE53">
        <v>2329.7066254182428</v>
      </c>
      <c r="BF53">
        <v>2808.9028720369943</v>
      </c>
      <c r="BG53">
        <v>2798.9230017084446</v>
      </c>
      <c r="BH53">
        <v>3291.8692289089049</v>
      </c>
      <c r="BI53">
        <v>3651.9891302911674</v>
      </c>
      <c r="BJ53">
        <v>3991.5163533815598</v>
      </c>
      <c r="BK53">
        <v>4342.1704309470588</v>
      </c>
      <c r="BL53" s="7">
        <f t="shared" si="43"/>
        <v>1.3392654515597251</v>
      </c>
    </row>
    <row r="54" spans="1:64">
      <c r="A54">
        <v>11</v>
      </c>
      <c r="B54" s="7" t="s">
        <v>13</v>
      </c>
      <c r="C54" s="15">
        <v>2829.3</v>
      </c>
      <c r="D54" s="15">
        <v>2861.2</v>
      </c>
      <c r="E54" s="15">
        <v>2898.5</v>
      </c>
      <c r="F54" s="15">
        <v>2941.9</v>
      </c>
      <c r="G54" s="15">
        <v>2975.9</v>
      </c>
      <c r="H54" s="15">
        <v>2941.5</v>
      </c>
      <c r="I54" s="15">
        <v>2993.4</v>
      </c>
      <c r="J54" s="15">
        <v>3051.8</v>
      </c>
      <c r="K54" s="7">
        <f t="shared" si="44"/>
        <v>1.0391980760635922</v>
      </c>
      <c r="M54" s="7" t="s">
        <v>13</v>
      </c>
      <c r="N54">
        <v>3.7</v>
      </c>
      <c r="O54">
        <v>3.4</v>
      </c>
      <c r="P54">
        <v>4.7</v>
      </c>
      <c r="Q54">
        <v>4.9000000000000004</v>
      </c>
      <c r="R54">
        <v>5.0999999999999996</v>
      </c>
      <c r="S54">
        <v>7.1</v>
      </c>
      <c r="T54">
        <v>7.2</v>
      </c>
      <c r="U54">
        <v>7.2</v>
      </c>
      <c r="W54" s="15">
        <f t="shared" si="45"/>
        <v>3.9333333333333336</v>
      </c>
      <c r="X54" s="15">
        <f t="shared" si="46"/>
        <v>4.333333333333333</v>
      </c>
      <c r="Y54" s="15">
        <f t="shared" si="37"/>
        <v>4.9000000000000004</v>
      </c>
      <c r="Z54" s="15">
        <f t="shared" si="38"/>
        <v>5.7</v>
      </c>
      <c r="AA54" s="15">
        <f t="shared" si="39"/>
        <v>6.4666666666666659</v>
      </c>
      <c r="AB54" s="15">
        <f t="shared" si="40"/>
        <v>7.166666666666667</v>
      </c>
      <c r="AC54" s="7">
        <f t="shared" si="41"/>
        <v>0.66761904761904778</v>
      </c>
      <c r="AD54" s="7">
        <f t="shared" si="47"/>
        <v>1.3302540415704385</v>
      </c>
      <c r="AG54" t="s">
        <v>41</v>
      </c>
      <c r="AH54">
        <v>1721223.6</v>
      </c>
      <c r="AI54">
        <v>2115539.5</v>
      </c>
      <c r="AJ54">
        <v>2739960.3</v>
      </c>
      <c r="AK54">
        <v>3267802.4</v>
      </c>
      <c r="AL54">
        <v>3999294.4</v>
      </c>
      <c r="AM54">
        <v>4817635.0999999996</v>
      </c>
      <c r="AN54">
        <v>6047077.2999999998</v>
      </c>
      <c r="AO54">
        <v>7211770.9000000004</v>
      </c>
      <c r="AQ54">
        <v>12</v>
      </c>
      <c r="AR54" t="s">
        <v>100</v>
      </c>
      <c r="AS54" s="7">
        <f t="shared" si="42"/>
        <v>1.331305386115698</v>
      </c>
      <c r="AT54" s="7">
        <f t="shared" si="36"/>
        <v>1.3669884810018615</v>
      </c>
      <c r="AU54" s="7">
        <f t="shared" si="36"/>
        <v>1.3218886403741399</v>
      </c>
      <c r="AV54" s="7">
        <f t="shared" si="36"/>
        <v>1.4115142317887153</v>
      </c>
      <c r="AW54" s="7">
        <f t="shared" si="36"/>
        <v>1.3764177596808911</v>
      </c>
      <c r="AX54" s="7">
        <f t="shared" si="36"/>
        <v>1.4042542186320826</v>
      </c>
      <c r="AY54" s="7">
        <f t="shared" si="36"/>
        <v>1.4308228708287887</v>
      </c>
      <c r="AZ54" s="7">
        <f t="shared" si="36"/>
        <v>1.412756227294204</v>
      </c>
      <c r="BA54" s="7"/>
      <c r="BC54" t="s">
        <v>14</v>
      </c>
      <c r="BD54">
        <v>1539.282206123567</v>
      </c>
      <c r="BE54">
        <v>1267.2915533958596</v>
      </c>
      <c r="BF54">
        <v>1312.7325880967542</v>
      </c>
      <c r="BG54">
        <v>1268.0925124512239</v>
      </c>
      <c r="BH54">
        <v>1489.6334963359204</v>
      </c>
      <c r="BI54">
        <v>1749.5241715918828</v>
      </c>
      <c r="BJ54">
        <v>1930.1771863011968</v>
      </c>
      <c r="BK54">
        <v>2035.668373272789</v>
      </c>
      <c r="BL54" s="7">
        <f t="shared" si="43"/>
        <v>1.2932677080140789</v>
      </c>
    </row>
    <row r="55" spans="1:64">
      <c r="A55">
        <v>12</v>
      </c>
      <c r="B55" s="7" t="s">
        <v>14</v>
      </c>
      <c r="C55" s="15">
        <v>3564.8</v>
      </c>
      <c r="D55" s="15">
        <v>3620.2</v>
      </c>
      <c r="E55" s="15">
        <v>3683.3</v>
      </c>
      <c r="F55" s="15">
        <v>3752</v>
      </c>
      <c r="G55" s="15">
        <v>3820</v>
      </c>
      <c r="H55" s="15">
        <v>3896.4</v>
      </c>
      <c r="I55" s="15">
        <v>3976.3</v>
      </c>
      <c r="J55" s="15">
        <v>4061.5</v>
      </c>
      <c r="K55" s="7">
        <f t="shared" si="44"/>
        <v>1.0697130816968181</v>
      </c>
      <c r="M55" s="7" t="s">
        <v>14</v>
      </c>
      <c r="N55">
        <v>6.2</v>
      </c>
      <c r="O55">
        <v>5</v>
      </c>
      <c r="P55">
        <v>5.9</v>
      </c>
      <c r="Q55">
        <v>6.6</v>
      </c>
      <c r="R55">
        <v>6.5</v>
      </c>
      <c r="S55">
        <v>8</v>
      </c>
      <c r="T55">
        <v>7.7</v>
      </c>
      <c r="U55">
        <v>7.3</v>
      </c>
      <c r="W55" s="15">
        <f t="shared" si="45"/>
        <v>5.7</v>
      </c>
      <c r="X55" s="15">
        <f t="shared" si="46"/>
        <v>5.833333333333333</v>
      </c>
      <c r="Y55" s="15">
        <f t="shared" si="37"/>
        <v>6.333333333333333</v>
      </c>
      <c r="Z55" s="15">
        <f t="shared" si="38"/>
        <v>7.0333333333333341</v>
      </c>
      <c r="AA55" s="15">
        <f t="shared" si="39"/>
        <v>7.3999999999999995</v>
      </c>
      <c r="AB55" s="15">
        <f t="shared" si="40"/>
        <v>7.666666666666667</v>
      </c>
      <c r="AC55" s="7">
        <f t="shared" si="41"/>
        <v>0.43523809523809526</v>
      </c>
      <c r="AD55" s="7">
        <f t="shared" si="47"/>
        <v>1.0977443609022555</v>
      </c>
      <c r="AG55" t="s">
        <v>39</v>
      </c>
      <c r="AH55">
        <v>1251322.5</v>
      </c>
      <c r="AI55">
        <v>1817190.9</v>
      </c>
      <c r="AJ55">
        <v>2317738</v>
      </c>
      <c r="AK55">
        <v>2897699.8</v>
      </c>
      <c r="AL55">
        <v>3533264.8</v>
      </c>
      <c r="AM55">
        <v>4276484.4000000004</v>
      </c>
      <c r="AN55">
        <v>5251000.7</v>
      </c>
      <c r="AO55">
        <v>5704599.4000000004</v>
      </c>
      <c r="AQ55">
        <v>13</v>
      </c>
      <c r="AR55" t="s">
        <v>40</v>
      </c>
      <c r="AS55" s="7">
        <f t="shared" si="42"/>
        <v>1.1740827188202558</v>
      </c>
      <c r="AT55" s="7">
        <f t="shared" si="36"/>
        <v>1.1776856375818905</v>
      </c>
      <c r="AU55" s="7">
        <f t="shared" si="36"/>
        <v>1.1544385419212022</v>
      </c>
      <c r="AV55" s="7">
        <f t="shared" si="36"/>
        <v>1.2158718226238197</v>
      </c>
      <c r="AW55" s="7">
        <f t="shared" si="36"/>
        <v>1.2792479422840872</v>
      </c>
      <c r="AX55" s="7">
        <f t="shared" si="36"/>
        <v>1.3035897306294382</v>
      </c>
      <c r="AY55" s="7">
        <f t="shared" si="36"/>
        <v>1.3357365670984112</v>
      </c>
      <c r="AZ55" s="7">
        <f t="shared" si="36"/>
        <v>1.3877923572487469</v>
      </c>
      <c r="BA55" s="7"/>
      <c r="BC55" t="s">
        <v>15</v>
      </c>
      <c r="BD55">
        <v>1783.7372030183981</v>
      </c>
      <c r="BE55">
        <v>1468.3236113010753</v>
      </c>
      <c r="BF55">
        <v>1549.3337042529031</v>
      </c>
      <c r="BG55">
        <v>1459.981099787233</v>
      </c>
      <c r="BH55">
        <v>1665.3859782240534</v>
      </c>
      <c r="BI55">
        <v>2024.3446346801513</v>
      </c>
      <c r="BJ55">
        <v>2194.0530072489773</v>
      </c>
      <c r="BK55">
        <v>2325.3018800328973</v>
      </c>
      <c r="BL55" s="7">
        <f t="shared" si="43"/>
        <v>1.2855440395345714</v>
      </c>
    </row>
    <row r="56" spans="1:64">
      <c r="A56">
        <v>13</v>
      </c>
      <c r="B56" s="7" t="s">
        <v>15</v>
      </c>
      <c r="C56" s="15">
        <v>1776.7</v>
      </c>
      <c r="D56" s="15">
        <v>1805</v>
      </c>
      <c r="E56" s="15">
        <v>1835.7</v>
      </c>
      <c r="F56" s="15">
        <v>1866.5</v>
      </c>
      <c r="G56" s="15">
        <v>1893.3</v>
      </c>
      <c r="H56" s="15">
        <v>1924.2</v>
      </c>
      <c r="I56" s="15">
        <v>1958.1</v>
      </c>
      <c r="J56" s="15">
        <v>1995.6</v>
      </c>
      <c r="K56" s="7">
        <f t="shared" si="44"/>
        <v>1.0604247065778374</v>
      </c>
      <c r="M56" s="7" t="s">
        <v>15</v>
      </c>
      <c r="N56">
        <v>7.2</v>
      </c>
      <c r="O56">
        <v>5.4</v>
      </c>
      <c r="P56">
        <v>6</v>
      </c>
      <c r="Q56">
        <v>6</v>
      </c>
      <c r="R56">
        <v>7.1</v>
      </c>
      <c r="S56">
        <v>8.1999999999999993</v>
      </c>
      <c r="T56">
        <v>8.5</v>
      </c>
      <c r="U56">
        <v>8.9</v>
      </c>
      <c r="W56" s="15">
        <f t="shared" si="45"/>
        <v>6.2</v>
      </c>
      <c r="X56" s="15">
        <f t="shared" si="46"/>
        <v>5.8</v>
      </c>
      <c r="Y56" s="15">
        <f t="shared" si="37"/>
        <v>6.3666666666666671</v>
      </c>
      <c r="Z56" s="15">
        <f t="shared" si="38"/>
        <v>7.0999999999999988</v>
      </c>
      <c r="AA56" s="15">
        <f t="shared" si="39"/>
        <v>7.9333333333333327</v>
      </c>
      <c r="AB56" s="15">
        <f t="shared" si="40"/>
        <v>8.5333333333333332</v>
      </c>
      <c r="AC56" s="7">
        <f t="shared" si="41"/>
        <v>0.53714285714285703</v>
      </c>
      <c r="AD56" s="7">
        <f t="shared" si="47"/>
        <v>1.2425828970331587</v>
      </c>
      <c r="AG56" t="s">
        <v>28</v>
      </c>
      <c r="AH56">
        <v>1484709.3</v>
      </c>
      <c r="AI56">
        <v>1930451.5</v>
      </c>
      <c r="AJ56">
        <v>2361568.7999999998</v>
      </c>
      <c r="AK56">
        <v>2629676.2000000002</v>
      </c>
      <c r="AL56">
        <v>3124314.8</v>
      </c>
      <c r="AM56">
        <v>3710824.3</v>
      </c>
      <c r="AN56">
        <v>4314801.7</v>
      </c>
      <c r="AO56">
        <v>5108745.3</v>
      </c>
      <c r="AQ56">
        <v>14</v>
      </c>
      <c r="AR56" t="s">
        <v>41</v>
      </c>
      <c r="AS56" s="7">
        <f>AS37/AH38</f>
        <v>1</v>
      </c>
      <c r="AT56" s="7">
        <f t="shared" ref="AT56:AZ56" si="48">AT37/AI38</f>
        <v>1</v>
      </c>
      <c r="AU56" s="7">
        <f t="shared" si="48"/>
        <v>1</v>
      </c>
      <c r="AV56" s="7">
        <f t="shared" si="48"/>
        <v>1</v>
      </c>
      <c r="AW56" s="7">
        <f t="shared" si="48"/>
        <v>1</v>
      </c>
      <c r="AX56" s="7">
        <f t="shared" si="48"/>
        <v>1</v>
      </c>
      <c r="AY56" s="7">
        <f t="shared" si="48"/>
        <v>1</v>
      </c>
      <c r="AZ56" s="7">
        <f t="shared" si="48"/>
        <v>1</v>
      </c>
      <c r="BA56" s="7"/>
      <c r="BC56" t="s">
        <v>16</v>
      </c>
      <c r="BD56">
        <v>4646.5218348172457</v>
      </c>
      <c r="BE56">
        <v>4294.7359771626143</v>
      </c>
      <c r="BF56">
        <v>5018.6131250561448</v>
      </c>
      <c r="BG56">
        <v>4734.9608163934499</v>
      </c>
      <c r="BH56">
        <v>5385.017441306577</v>
      </c>
      <c r="BI56">
        <v>6273.1375167536953</v>
      </c>
      <c r="BJ56">
        <v>7158.2557734097409</v>
      </c>
      <c r="BK56">
        <v>8369.7402253810706</v>
      </c>
      <c r="BL56" s="7">
        <f t="shared" si="43"/>
        <v>1.4593829043693372</v>
      </c>
    </row>
    <row r="57" spans="1:64">
      <c r="A57">
        <v>14</v>
      </c>
      <c r="B57" s="7" t="s">
        <v>16</v>
      </c>
      <c r="C57" s="15">
        <v>2424.1</v>
      </c>
      <c r="D57" s="15">
        <v>2464.9</v>
      </c>
      <c r="E57" s="15">
        <v>2509.9</v>
      </c>
      <c r="F57" s="15">
        <v>2571.6999999999998</v>
      </c>
      <c r="G57" s="15">
        <v>2694.4</v>
      </c>
      <c r="H57" s="15">
        <v>2860.6</v>
      </c>
      <c r="I57" s="15">
        <v>2956.4</v>
      </c>
      <c r="J57" s="15">
        <v>3040.8</v>
      </c>
      <c r="K57" s="7">
        <f t="shared" si="44"/>
        <v>1.1302618618395377</v>
      </c>
      <c r="M57" s="7" t="s">
        <v>16</v>
      </c>
      <c r="N57" s="20">
        <v>7.4</v>
      </c>
      <c r="O57" s="20">
        <v>8.1</v>
      </c>
      <c r="P57" s="19">
        <v>9.1999999999999993</v>
      </c>
      <c r="Q57" s="19">
        <v>9.5</v>
      </c>
      <c r="R57" s="19">
        <v>10.1</v>
      </c>
      <c r="S57" s="19">
        <v>11.5</v>
      </c>
      <c r="T57" s="19">
        <v>10.4</v>
      </c>
      <c r="U57" s="21">
        <v>9.1999999999999993</v>
      </c>
      <c r="W57" s="15">
        <f t="shared" si="45"/>
        <v>8.2333333333333325</v>
      </c>
      <c r="X57" s="15">
        <f t="shared" si="46"/>
        <v>8.9333333333333318</v>
      </c>
      <c r="Y57" s="15">
        <f t="shared" si="37"/>
        <v>9.6</v>
      </c>
      <c r="Z57" s="15">
        <f t="shared" si="38"/>
        <v>10.366666666666667</v>
      </c>
      <c r="AA57" s="15">
        <f t="shared" si="39"/>
        <v>10.666666666666666</v>
      </c>
      <c r="AB57" s="15">
        <f t="shared" si="40"/>
        <v>10.366666666666665</v>
      </c>
      <c r="AC57" s="7">
        <f t="shared" si="41"/>
        <v>0.47523809523809529</v>
      </c>
      <c r="AD57" s="7">
        <f t="shared" si="47"/>
        <v>0.97612732095490706</v>
      </c>
      <c r="AG57" t="s">
        <v>100</v>
      </c>
      <c r="AH57">
        <v>1390138.7</v>
      </c>
      <c r="AI57">
        <v>1726103.6</v>
      </c>
      <c r="AJ57">
        <v>2121693</v>
      </c>
      <c r="AK57">
        <v>2515065.7000000002</v>
      </c>
      <c r="AL57">
        <v>2827947.6</v>
      </c>
      <c r="AM57">
        <v>3564641.9</v>
      </c>
      <c r="AN57">
        <v>4082350.7</v>
      </c>
      <c r="AO57">
        <v>4557659.0999999996</v>
      </c>
      <c r="AZ57" s="7">
        <f>AVERAGE(AZ43:AZ56)</f>
        <v>1.2852657125448077</v>
      </c>
    </row>
    <row r="58" spans="1:64">
      <c r="B58" s="7" t="s">
        <v>48</v>
      </c>
      <c r="C58" s="15">
        <f t="shared" ref="C58:J58" si="49">SUM(C44:C57)</f>
        <v>32120.499999999993</v>
      </c>
      <c r="D58" s="15">
        <f t="shared" si="49"/>
        <v>32656.700000000004</v>
      </c>
      <c r="E58" s="15">
        <f t="shared" si="49"/>
        <v>33255.5</v>
      </c>
      <c r="F58" s="15">
        <f t="shared" si="49"/>
        <v>33905.199999999997</v>
      </c>
      <c r="G58" s="15">
        <f t="shared" si="49"/>
        <v>34558.9</v>
      </c>
      <c r="H58" s="15">
        <f t="shared" si="49"/>
        <v>35271.300000000003</v>
      </c>
      <c r="I58" s="15">
        <f t="shared" si="49"/>
        <v>36024.9</v>
      </c>
      <c r="J58" s="15">
        <f t="shared" si="49"/>
        <v>36799.800000000003</v>
      </c>
      <c r="K58" s="7">
        <f t="shared" si="44"/>
        <v>1.0721271642956407</v>
      </c>
      <c r="W58" s="15"/>
      <c r="X58" s="15"/>
      <c r="Y58" s="15"/>
      <c r="Z58" s="15"/>
      <c r="AA58" s="15"/>
      <c r="AB58" s="15"/>
    </row>
    <row r="59" spans="1:64">
      <c r="C59" s="15"/>
      <c r="D59" s="15"/>
      <c r="E59" s="15"/>
      <c r="F59" s="15"/>
      <c r="G59" s="15"/>
      <c r="H59" s="15"/>
      <c r="I59" s="15"/>
      <c r="J59" s="15"/>
      <c r="K59" s="7"/>
      <c r="W59" s="15"/>
      <c r="X59" s="15"/>
      <c r="Y59" s="15"/>
      <c r="Z59" s="15"/>
      <c r="AA59" s="15"/>
      <c r="AB59" s="15"/>
    </row>
    <row r="60" spans="1:64">
      <c r="C60" s="15"/>
      <c r="D60" s="15"/>
      <c r="E60" s="15"/>
      <c r="F60" s="15"/>
      <c r="G60" s="15"/>
      <c r="H60" s="15"/>
      <c r="I60" s="15"/>
      <c r="J60" s="15"/>
      <c r="K60" s="7"/>
      <c r="W60" s="15"/>
      <c r="X60" s="15"/>
      <c r="Y60" s="15"/>
      <c r="Z60" s="15"/>
      <c r="AA60" s="15"/>
      <c r="AB60" s="15"/>
    </row>
    <row r="61" spans="1:64">
      <c r="C61" s="15"/>
      <c r="D61" s="15"/>
      <c r="E61" s="15"/>
      <c r="F61" s="15"/>
      <c r="G61" s="15"/>
      <c r="H61" s="15"/>
      <c r="I61" s="15"/>
      <c r="J61" s="15"/>
      <c r="K61" s="7"/>
      <c r="W61" s="15"/>
      <c r="X61" s="15"/>
      <c r="Y61" s="15"/>
      <c r="Z61" s="15"/>
      <c r="AA61" s="15"/>
      <c r="AB61" s="15"/>
      <c r="AQ61">
        <v>1</v>
      </c>
      <c r="AR61" t="s">
        <v>28</v>
      </c>
      <c r="AS61" s="7">
        <f>AVERAGE(AS43:AU43)</f>
        <v>1.2543945159910206</v>
      </c>
      <c r="AT61" s="7">
        <f t="shared" ref="AT61:AW61" si="50">AVERAGE(AT43:AV43)</f>
        <v>1.2787167504406141</v>
      </c>
      <c r="AU61" s="7">
        <f t="shared" si="50"/>
        <v>1.2885597463312284</v>
      </c>
      <c r="AV61" s="7">
        <f t="shared" si="50"/>
        <v>1.3071921525029222</v>
      </c>
      <c r="AW61" s="7">
        <f t="shared" si="50"/>
        <v>1.3222284534276976</v>
      </c>
      <c r="AX61" s="7">
        <f>AVERAGE(AS43:AZ43)</f>
        <v>1.2997279137496314</v>
      </c>
      <c r="AY61" s="7">
        <f>AX61/$AX$74</f>
        <v>1.0551036447403053</v>
      </c>
      <c r="AZ61" s="7">
        <f>AX61/$AZ$57</f>
        <v>1.0112523045341253</v>
      </c>
    </row>
    <row r="62" spans="1:64">
      <c r="B62" s="18" t="s">
        <v>79</v>
      </c>
      <c r="C62" s="24">
        <v>2017</v>
      </c>
      <c r="D62" s="24">
        <v>2018</v>
      </c>
      <c r="E62" s="24">
        <v>2019</v>
      </c>
      <c r="F62" s="24">
        <v>2020</v>
      </c>
      <c r="G62" s="24">
        <v>2021</v>
      </c>
      <c r="H62" s="24">
        <v>2022</v>
      </c>
      <c r="I62" s="24">
        <v>2023</v>
      </c>
      <c r="J62" s="24">
        <v>2024</v>
      </c>
      <c r="K62" s="7"/>
      <c r="M62" s="22" t="s">
        <v>85</v>
      </c>
      <c r="W62" s="15"/>
      <c r="X62" s="15"/>
      <c r="Y62" s="15"/>
      <c r="Z62" s="15"/>
      <c r="AA62" s="15"/>
      <c r="AB62" s="15"/>
      <c r="AQ62">
        <v>2</v>
      </c>
      <c r="AR62" t="s">
        <v>29</v>
      </c>
      <c r="AS62" s="7">
        <f t="shared" ref="AS62:AS73" si="51">AVERAGE(AS44:AU44)</f>
        <v>1.1894475364929762</v>
      </c>
      <c r="AT62" s="7">
        <f t="shared" ref="AT62:AT73" si="52">AVERAGE(AT44:AV44)</f>
        <v>1.2150371236479625</v>
      </c>
      <c r="AU62" s="7">
        <f t="shared" ref="AU62:AU73" si="53">AVERAGE(AU44:AW44)</f>
        <v>1.2215479870315498</v>
      </c>
      <c r="AV62" s="7">
        <f t="shared" ref="AV62:AV73" si="54">AVERAGE(AV44:AX44)</f>
        <v>1.2428420832813005</v>
      </c>
      <c r="AW62" s="7">
        <f t="shared" ref="AW62:AW73" si="55">AVERAGE(AW44:AY44)</f>
        <v>1.2655774314252204</v>
      </c>
      <c r="AX62" s="7">
        <f t="shared" ref="AX62:AX73" si="56">AVERAGE(AS44:AZ44)</f>
        <v>1.2384273198450388</v>
      </c>
      <c r="AY62" s="7">
        <f t="shared" ref="AY62:AY73" si="57">AX62/$AX$74</f>
        <v>1.0053405525044175</v>
      </c>
      <c r="AZ62" s="7">
        <f t="shared" ref="AZ62:AZ73" si="58">AX62/$AZ$57</f>
        <v>0.96355742455228999</v>
      </c>
    </row>
    <row r="63" spans="1:64">
      <c r="A63">
        <v>1</v>
      </c>
      <c r="B63" t="s">
        <v>29</v>
      </c>
      <c r="C63" s="25">
        <v>421.9</v>
      </c>
      <c r="D63" s="25">
        <v>427.5</v>
      </c>
      <c r="E63" s="25">
        <v>433.9</v>
      </c>
      <c r="F63" s="25">
        <v>441.7</v>
      </c>
      <c r="G63" s="25">
        <v>450</v>
      </c>
      <c r="H63" s="25">
        <v>458.5</v>
      </c>
      <c r="I63" s="25">
        <v>468.1</v>
      </c>
      <c r="J63" s="25">
        <v>480.8</v>
      </c>
      <c r="K63" s="7">
        <f>J63/AVERAGE(C63:J63)</f>
        <v>1.0736936132201875</v>
      </c>
      <c r="L63" s="7"/>
      <c r="M63" s="19" t="s">
        <v>83</v>
      </c>
      <c r="N63" s="18">
        <v>2017</v>
      </c>
      <c r="O63" s="19">
        <v>2018</v>
      </c>
      <c r="P63" s="19">
        <v>2019</v>
      </c>
      <c r="Q63" s="19">
        <v>2020</v>
      </c>
      <c r="R63" s="19">
        <v>2021</v>
      </c>
      <c r="S63" s="19">
        <v>2022</v>
      </c>
      <c r="T63" s="19">
        <v>2023</v>
      </c>
      <c r="U63" s="19">
        <v>2024</v>
      </c>
      <c r="W63" s="22" t="s">
        <v>92</v>
      </c>
      <c r="X63" s="22" t="s">
        <v>91</v>
      </c>
      <c r="Y63" s="22" t="s">
        <v>90</v>
      </c>
      <c r="Z63" s="22" t="s">
        <v>89</v>
      </c>
      <c r="AA63" s="22" t="s">
        <v>88</v>
      </c>
      <c r="AB63" s="22" t="s">
        <v>87</v>
      </c>
      <c r="AF63" s="22" t="s">
        <v>99</v>
      </c>
      <c r="AG63" s="18"/>
      <c r="AH63" s="18">
        <v>2017</v>
      </c>
      <c r="AI63" s="18">
        <v>2018</v>
      </c>
      <c r="AJ63" s="18">
        <v>2019</v>
      </c>
      <c r="AK63" s="18">
        <v>2020</v>
      </c>
      <c r="AL63" s="18">
        <v>2021</v>
      </c>
      <c r="AM63" s="18">
        <v>2022</v>
      </c>
      <c r="AN63" s="18">
        <v>2023</v>
      </c>
      <c r="AO63" s="18">
        <v>2024</v>
      </c>
      <c r="AQ63">
        <v>3</v>
      </c>
      <c r="AR63" t="s">
        <v>30</v>
      </c>
      <c r="AS63" s="7">
        <f t="shared" si="51"/>
        <v>1.0138803298424912</v>
      </c>
      <c r="AT63" s="7">
        <f t="shared" si="52"/>
        <v>1.029387749793206</v>
      </c>
      <c r="AU63" s="7">
        <f t="shared" si="53"/>
        <v>1.0545786959597165</v>
      </c>
      <c r="AV63" s="7">
        <f t="shared" si="54"/>
        <v>1.0874425141198907</v>
      </c>
      <c r="AW63" s="7">
        <f t="shared" si="55"/>
        <v>1.1445598204802794</v>
      </c>
      <c r="AX63" s="7">
        <f t="shared" si="56"/>
        <v>1.0885789018460055</v>
      </c>
      <c r="AY63" s="7">
        <f t="shared" si="57"/>
        <v>0.88369539099270977</v>
      </c>
      <c r="AZ63" s="7">
        <f t="shared" si="58"/>
        <v>0.84696797807718283</v>
      </c>
    </row>
    <row r="64" spans="1:64">
      <c r="A64">
        <v>2</v>
      </c>
      <c r="B64" t="s">
        <v>30</v>
      </c>
      <c r="C64" s="25">
        <v>276</v>
      </c>
      <c r="D64" s="25">
        <v>276.39999999999998</v>
      </c>
      <c r="E64" s="25">
        <v>277.8</v>
      </c>
      <c r="F64" s="25">
        <v>280.2</v>
      </c>
      <c r="G64" s="25">
        <v>281.2</v>
      </c>
      <c r="H64" s="25">
        <v>283.8</v>
      </c>
      <c r="I64" s="25">
        <v>289.2</v>
      </c>
      <c r="J64" s="25">
        <v>294.5</v>
      </c>
      <c r="K64" s="7">
        <f t="shared" ref="K64:K75" si="59">J64/AVERAGE(C64:J64)</f>
        <v>1.0428931875525651</v>
      </c>
      <c r="L64" s="7"/>
      <c r="M64" s="14" t="s">
        <v>3</v>
      </c>
      <c r="N64" s="14">
        <v>44.6</v>
      </c>
      <c r="O64" s="20">
        <v>35.5</v>
      </c>
      <c r="P64" s="20">
        <v>35.700000000000003</v>
      </c>
      <c r="Q64" s="20">
        <v>35.4</v>
      </c>
      <c r="R64" s="20">
        <v>37</v>
      </c>
      <c r="S64" s="20">
        <v>44.3</v>
      </c>
      <c r="T64" s="20">
        <v>46.5</v>
      </c>
      <c r="U64" s="20">
        <v>48</v>
      </c>
      <c r="W64" s="15">
        <f>AVERAGE(N64:P64)</f>
        <v>38.6</v>
      </c>
      <c r="X64" s="15">
        <f>AVERAGE(O64:Q64)</f>
        <v>35.533333333333331</v>
      </c>
      <c r="Y64" s="15">
        <f t="shared" ref="Y64:Y77" si="60">AVERAGE(P64:R64)</f>
        <v>36.033333333333331</v>
      </c>
      <c r="Z64" s="15">
        <f t="shared" ref="Z64:Z77" si="61">AVERAGE(Q64:S64)</f>
        <v>38.9</v>
      </c>
      <c r="AA64" s="15">
        <f t="shared" ref="AA64:AA77" si="62">AVERAGE(R64:T64)</f>
        <v>42.6</v>
      </c>
      <c r="AB64" s="15">
        <f t="shared" ref="AB64:AB77" si="63">AVERAGE(S64:U64)</f>
        <v>46.266666666666673</v>
      </c>
      <c r="AC64" s="7">
        <f t="shared" ref="AC64:AC77" si="64">LINEST(W64:AB64)</f>
        <v>1.7828571428571438</v>
      </c>
      <c r="AD64" s="7">
        <f>U64/AVERAGE(N64:U64)</f>
        <v>1.1743119266055047</v>
      </c>
      <c r="AF64">
        <v>2</v>
      </c>
      <c r="AG64" t="s">
        <v>29</v>
      </c>
      <c r="AH64" s="15">
        <f t="shared" ref="AH64:AH76" si="65">AH44/C$19</f>
        <v>246.99346763152749</v>
      </c>
      <c r="AI64" s="15">
        <f t="shared" ref="AI64:AI76" si="66">AI44/D$19</f>
        <v>204.31109048149523</v>
      </c>
      <c r="AJ64" s="15">
        <f t="shared" ref="AJ64:AJ76" si="67">AJ44/E$19</f>
        <v>228.07527491214148</v>
      </c>
      <c r="AK64" s="15">
        <f t="shared" ref="AK64:AK76" si="68">AK44/F$19</f>
        <v>238.00651176705225</v>
      </c>
      <c r="AL64" s="15">
        <f t="shared" ref="AL64:AL76" si="69">AL44/G$19</f>
        <v>263.88851408649765</v>
      </c>
      <c r="AM64" s="15">
        <f t="shared" ref="AM64:AM76" si="70">AM44/H$19</f>
        <v>317.80706659428159</v>
      </c>
      <c r="AN64" s="15">
        <f t="shared" ref="AN64:AN76" si="71">AN44/I$19</f>
        <v>360.53271736353577</v>
      </c>
      <c r="AO64" s="15">
        <f t="shared" ref="AO64:AO76" si="72">AO44/J$19</f>
        <v>392.20170723996205</v>
      </c>
      <c r="AQ64">
        <v>4</v>
      </c>
      <c r="AR64" t="s">
        <v>31</v>
      </c>
      <c r="AS64" s="7">
        <f t="shared" si="51"/>
        <v>1.2540941120327809</v>
      </c>
      <c r="AT64" s="7">
        <f t="shared" si="52"/>
        <v>1.2596947752400469</v>
      </c>
      <c r="AU64" s="7">
        <f t="shared" si="53"/>
        <v>1.2679438324589525</v>
      </c>
      <c r="AV64" s="7">
        <f t="shared" si="54"/>
        <v>1.2666762625145715</v>
      </c>
      <c r="AW64" s="7">
        <f t="shared" si="55"/>
        <v>1.2647792455654432</v>
      </c>
      <c r="AX64" s="7">
        <f t="shared" si="56"/>
        <v>1.263333643124148</v>
      </c>
      <c r="AY64" s="7">
        <f t="shared" si="57"/>
        <v>1.0255592091869965</v>
      </c>
      <c r="AZ64" s="7">
        <f t="shared" si="58"/>
        <v>0.98293577024066525</v>
      </c>
    </row>
    <row r="65" spans="1:52">
      <c r="A65">
        <v>3</v>
      </c>
      <c r="B65" t="s">
        <v>31</v>
      </c>
      <c r="C65" s="25">
        <v>169.6</v>
      </c>
      <c r="D65" s="25">
        <v>171.7</v>
      </c>
      <c r="E65" s="25">
        <v>174.4</v>
      </c>
      <c r="F65" s="25">
        <v>177.4</v>
      </c>
      <c r="G65" s="25">
        <v>180.5</v>
      </c>
      <c r="H65" s="25">
        <v>185.1</v>
      </c>
      <c r="I65" s="25">
        <v>191.6</v>
      </c>
      <c r="J65" s="25">
        <v>195.8</v>
      </c>
      <c r="K65" s="7">
        <f t="shared" si="59"/>
        <v>1.0831892676854993</v>
      </c>
      <c r="L65" s="7"/>
      <c r="M65" s="14" t="s">
        <v>4</v>
      </c>
      <c r="N65" s="20">
        <v>40.200000000000003</v>
      </c>
      <c r="O65" s="20">
        <v>28.1</v>
      </c>
      <c r="P65" s="20">
        <v>28.4</v>
      </c>
      <c r="Q65" s="20">
        <v>28.8</v>
      </c>
      <c r="R65" s="20">
        <v>30.8</v>
      </c>
      <c r="S65" s="20">
        <v>33.6</v>
      </c>
      <c r="T65" s="20">
        <v>33.200000000000003</v>
      </c>
      <c r="U65" s="20">
        <v>34.299999999999997</v>
      </c>
      <c r="W65" s="15">
        <f t="shared" ref="W65:W77" si="73">AVERAGE(N65:P65)</f>
        <v>32.233333333333341</v>
      </c>
      <c r="X65" s="15">
        <f t="shared" ref="X65:X77" si="74">AVERAGE(O65:Q65)</f>
        <v>28.433333333333334</v>
      </c>
      <c r="Y65" s="15">
        <f t="shared" si="60"/>
        <v>29.333333333333332</v>
      </c>
      <c r="Z65" s="15">
        <f t="shared" si="61"/>
        <v>31.066666666666666</v>
      </c>
      <c r="AA65" s="15">
        <f t="shared" si="62"/>
        <v>32.533333333333339</v>
      </c>
      <c r="AB65" s="15">
        <f t="shared" si="63"/>
        <v>33.700000000000003</v>
      </c>
      <c r="AC65" s="7">
        <f t="shared" si="64"/>
        <v>0.61047619047619006</v>
      </c>
      <c r="AD65" s="7">
        <f t="shared" ref="AD65:AD77" si="75">U65/AVERAGE(N65:U65)</f>
        <v>1.0660450660450658</v>
      </c>
      <c r="AF65">
        <v>3</v>
      </c>
      <c r="AG65" t="s">
        <v>30</v>
      </c>
      <c r="AH65" s="15">
        <f t="shared" si="65"/>
        <v>233.91431644826909</v>
      </c>
      <c r="AI65" s="15">
        <f t="shared" si="66"/>
        <v>184.99909642282461</v>
      </c>
      <c r="AJ65" s="15">
        <f t="shared" si="67"/>
        <v>210.89244983561954</v>
      </c>
      <c r="AK65" s="15">
        <f t="shared" si="68"/>
        <v>213.08409453530115</v>
      </c>
      <c r="AL65" s="15">
        <f t="shared" si="69"/>
        <v>240.94557618015639</v>
      </c>
      <c r="AM65" s="15">
        <f t="shared" si="70"/>
        <v>283.28887984075283</v>
      </c>
      <c r="AN65" s="15">
        <f t="shared" si="71"/>
        <v>320.61110448777998</v>
      </c>
      <c r="AO65" s="15">
        <f t="shared" si="72"/>
        <v>341.5252529244388</v>
      </c>
      <c r="AQ65">
        <v>5</v>
      </c>
      <c r="AR65" t="s">
        <v>32</v>
      </c>
      <c r="AS65" s="7">
        <f t="shared" si="51"/>
        <v>1.1566978746416912</v>
      </c>
      <c r="AT65" s="7">
        <f t="shared" si="52"/>
        <v>1.1663231364706517</v>
      </c>
      <c r="AU65" s="7">
        <f t="shared" si="53"/>
        <v>1.2350791294937962</v>
      </c>
      <c r="AV65" s="7">
        <f t="shared" si="54"/>
        <v>1.2892049990076151</v>
      </c>
      <c r="AW65" s="7">
        <f t="shared" si="55"/>
        <v>1.3204029143520142</v>
      </c>
      <c r="AX65" s="7">
        <f t="shared" si="56"/>
        <v>1.2515377245503303</v>
      </c>
      <c r="AY65" s="7">
        <f t="shared" si="57"/>
        <v>1.0159834229407896</v>
      </c>
      <c r="AZ65" s="7">
        <f t="shared" si="58"/>
        <v>0.97375796485872446</v>
      </c>
    </row>
    <row r="66" spans="1:52">
      <c r="A66">
        <v>4</v>
      </c>
      <c r="B66" t="s">
        <v>32</v>
      </c>
      <c r="C66" s="25">
        <v>264.2</v>
      </c>
      <c r="D66" s="25">
        <v>267.60000000000002</v>
      </c>
      <c r="E66" s="25">
        <v>270.7</v>
      </c>
      <c r="F66" s="25">
        <v>274.89999999999998</v>
      </c>
      <c r="G66" s="25">
        <v>278.3</v>
      </c>
      <c r="H66" s="25">
        <v>283.2</v>
      </c>
      <c r="I66" s="25">
        <v>288.89999999999998</v>
      </c>
      <c r="J66" s="25">
        <v>295.60000000000002</v>
      </c>
      <c r="K66" s="7">
        <f t="shared" si="59"/>
        <v>1.063596293964199</v>
      </c>
      <c r="L66" s="7"/>
      <c r="M66" s="14" t="s">
        <v>5</v>
      </c>
      <c r="N66" s="20">
        <v>39.6</v>
      </c>
      <c r="O66" s="20">
        <v>30.7</v>
      </c>
      <c r="P66" s="20">
        <v>30.4</v>
      </c>
      <c r="Q66" s="20">
        <v>29</v>
      </c>
      <c r="R66" s="20">
        <v>29.5</v>
      </c>
      <c r="S66" s="20">
        <v>33.5</v>
      </c>
      <c r="T66" s="20">
        <v>34</v>
      </c>
      <c r="U66" s="20">
        <v>35.200000000000003</v>
      </c>
      <c r="W66" s="15">
        <f t="shared" si="73"/>
        <v>33.566666666666663</v>
      </c>
      <c r="X66" s="15">
        <f t="shared" si="74"/>
        <v>30.033333333333331</v>
      </c>
      <c r="Y66" s="15">
        <f t="shared" si="60"/>
        <v>29.633333333333336</v>
      </c>
      <c r="Z66" s="15">
        <f t="shared" si="61"/>
        <v>30.666666666666668</v>
      </c>
      <c r="AA66" s="15">
        <f t="shared" si="62"/>
        <v>32.333333333333336</v>
      </c>
      <c r="AB66" s="15">
        <f t="shared" si="63"/>
        <v>34.233333333333334</v>
      </c>
      <c r="AC66" s="7">
        <f t="shared" si="64"/>
        <v>0.32190476190476275</v>
      </c>
      <c r="AD66" s="7">
        <f t="shared" si="75"/>
        <v>1.0752195494463537</v>
      </c>
      <c r="AF66">
        <v>4</v>
      </c>
      <c r="AG66" t="s">
        <v>31</v>
      </c>
      <c r="AH66" s="15">
        <f t="shared" si="65"/>
        <v>265.09051437512227</v>
      </c>
      <c r="AI66" s="15">
        <f t="shared" si="66"/>
        <v>199.59804431241491</v>
      </c>
      <c r="AJ66" s="15">
        <f t="shared" si="67"/>
        <v>226.82913501870536</v>
      </c>
      <c r="AK66" s="15">
        <f t="shared" si="68"/>
        <v>231.31161747108095</v>
      </c>
      <c r="AL66" s="15">
        <f t="shared" si="69"/>
        <v>253.2803354376708</v>
      </c>
      <c r="AM66" s="15">
        <f t="shared" si="70"/>
        <v>286.96227832066597</v>
      </c>
      <c r="AN66" s="15">
        <f t="shared" si="71"/>
        <v>318.07161713361154</v>
      </c>
      <c r="AO66" s="15">
        <f t="shared" si="72"/>
        <v>337.92976604489411</v>
      </c>
      <c r="AQ66">
        <v>6</v>
      </c>
      <c r="AR66" t="s">
        <v>33</v>
      </c>
      <c r="AS66" s="7">
        <f t="shared" si="51"/>
        <v>1.1188816472844716</v>
      </c>
      <c r="AT66" s="7">
        <f t="shared" si="52"/>
        <v>1.1392879151677493</v>
      </c>
      <c r="AU66" s="7">
        <f t="shared" si="53"/>
        <v>1.1790283166150408</v>
      </c>
      <c r="AV66" s="7">
        <f t="shared" si="54"/>
        <v>1.1789741059587162</v>
      </c>
      <c r="AW66" s="7">
        <f t="shared" si="55"/>
        <v>1.17602072107523</v>
      </c>
      <c r="AX66" s="7">
        <f t="shared" si="56"/>
        <v>1.1475623258008325</v>
      </c>
      <c r="AY66" s="7">
        <f t="shared" si="57"/>
        <v>0.93157743225353074</v>
      </c>
      <c r="AZ66" s="7">
        <f t="shared" si="58"/>
        <v>0.89285998576020176</v>
      </c>
    </row>
    <row r="67" spans="1:52">
      <c r="A67">
        <v>5</v>
      </c>
      <c r="B67" t="s">
        <v>33</v>
      </c>
      <c r="C67" s="25">
        <v>134.1</v>
      </c>
      <c r="D67" s="25">
        <v>135.6</v>
      </c>
      <c r="E67" s="25">
        <v>136.4</v>
      </c>
      <c r="F67" s="25">
        <v>144.19999999999999</v>
      </c>
      <c r="G67" s="25">
        <v>146.9</v>
      </c>
      <c r="H67" s="25">
        <v>150.6</v>
      </c>
      <c r="I67" s="25">
        <v>156</v>
      </c>
      <c r="J67" s="25">
        <v>161.30000000000001</v>
      </c>
      <c r="K67" s="7">
        <f t="shared" si="59"/>
        <v>1.1075444167882587</v>
      </c>
      <c r="L67" s="7"/>
      <c r="M67" s="14" t="s">
        <v>6</v>
      </c>
      <c r="N67" s="20">
        <v>42.4</v>
      </c>
      <c r="O67" s="20">
        <v>29.4</v>
      </c>
      <c r="P67" s="20">
        <v>29.5</v>
      </c>
      <c r="Q67" s="20">
        <v>28.5</v>
      </c>
      <c r="R67" s="20">
        <v>28.4</v>
      </c>
      <c r="S67" s="20">
        <v>32.6</v>
      </c>
      <c r="T67" s="20">
        <v>33.700000000000003</v>
      </c>
      <c r="U67" s="20">
        <v>36</v>
      </c>
      <c r="W67" s="15">
        <f t="shared" si="73"/>
        <v>33.766666666666666</v>
      </c>
      <c r="X67" s="15">
        <f t="shared" si="74"/>
        <v>29.133333333333336</v>
      </c>
      <c r="Y67" s="15">
        <f t="shared" si="60"/>
        <v>28.8</v>
      </c>
      <c r="Z67" s="15">
        <f t="shared" si="61"/>
        <v>29.833333333333332</v>
      </c>
      <c r="AA67" s="15">
        <f t="shared" si="62"/>
        <v>31.566666666666666</v>
      </c>
      <c r="AB67" s="15">
        <f t="shared" si="63"/>
        <v>34.1</v>
      </c>
      <c r="AC67" s="7">
        <f t="shared" si="64"/>
        <v>0.28571428571428553</v>
      </c>
      <c r="AD67" s="7">
        <f t="shared" si="75"/>
        <v>1.1055662188099808</v>
      </c>
      <c r="AF67">
        <v>5</v>
      </c>
      <c r="AG67" t="s">
        <v>32</v>
      </c>
      <c r="AH67" s="15">
        <f t="shared" si="65"/>
        <v>268.81470760805792</v>
      </c>
      <c r="AI67" s="15">
        <f t="shared" si="66"/>
        <v>204.64880554524075</v>
      </c>
      <c r="AJ67" s="15">
        <f t="shared" si="67"/>
        <v>220.31117787098967</v>
      </c>
      <c r="AK67" s="15">
        <f t="shared" si="68"/>
        <v>227.2142899880335</v>
      </c>
      <c r="AL67" s="15">
        <f t="shared" si="69"/>
        <v>270.70081974936397</v>
      </c>
      <c r="AM67" s="15">
        <f t="shared" si="70"/>
        <v>302.8077452044879</v>
      </c>
      <c r="AN67" s="15">
        <f t="shared" si="71"/>
        <v>334.40902665417696</v>
      </c>
      <c r="AO67" s="15">
        <f t="shared" si="72"/>
        <v>344.36240120139104</v>
      </c>
      <c r="AQ67">
        <v>7</v>
      </c>
      <c r="AR67" t="s">
        <v>34</v>
      </c>
      <c r="AS67" s="7">
        <f t="shared" si="51"/>
        <v>1.1546490231145323</v>
      </c>
      <c r="AT67" s="7">
        <f t="shared" si="52"/>
        <v>1.17550611356441</v>
      </c>
      <c r="AU67" s="7">
        <f t="shared" si="53"/>
        <v>1.1918337736579014</v>
      </c>
      <c r="AV67" s="7">
        <f t="shared" si="54"/>
        <v>1.1880244094412149</v>
      </c>
      <c r="AW67" s="7">
        <f t="shared" si="55"/>
        <v>1.1911883264899468</v>
      </c>
      <c r="AX67" s="7">
        <f t="shared" si="56"/>
        <v>1.1810138401824271</v>
      </c>
      <c r="AY67" s="7">
        <f t="shared" si="57"/>
        <v>0.95873297332695417</v>
      </c>
      <c r="AZ67" s="7">
        <f t="shared" si="58"/>
        <v>0.91888691081942631</v>
      </c>
    </row>
    <row r="68" spans="1:52">
      <c r="A68">
        <v>6</v>
      </c>
      <c r="B68" t="s">
        <v>34</v>
      </c>
      <c r="C68" s="25">
        <v>590.20000000000005</v>
      </c>
      <c r="D68" s="25">
        <v>600.20000000000005</v>
      </c>
      <c r="E68" s="25">
        <v>612.20000000000005</v>
      </c>
      <c r="F68" s="25">
        <v>626.1</v>
      </c>
      <c r="G68" s="25">
        <v>644.79999999999995</v>
      </c>
      <c r="H68" s="25">
        <v>661.1</v>
      </c>
      <c r="I68" s="25">
        <v>678.2</v>
      </c>
      <c r="J68" s="25">
        <v>696.5</v>
      </c>
      <c r="K68" s="7">
        <f t="shared" si="59"/>
        <v>1.0905603507329771</v>
      </c>
      <c r="L68" s="7"/>
      <c r="M68" s="14" t="s">
        <v>7</v>
      </c>
      <c r="N68" s="20">
        <v>34.6</v>
      </c>
      <c r="O68" s="20">
        <v>33.1</v>
      </c>
      <c r="P68" s="20">
        <v>34.700000000000003</v>
      </c>
      <c r="Q68" s="20">
        <v>34.5</v>
      </c>
      <c r="R68" s="20">
        <v>34.299999999999997</v>
      </c>
      <c r="S68" s="20">
        <v>40.1</v>
      </c>
      <c r="T68" s="20">
        <v>40.5</v>
      </c>
      <c r="U68" s="20">
        <v>41.6</v>
      </c>
      <c r="W68" s="15">
        <f t="shared" si="73"/>
        <v>34.133333333333333</v>
      </c>
      <c r="X68" s="15">
        <f t="shared" si="74"/>
        <v>34.1</v>
      </c>
      <c r="Y68" s="15">
        <f t="shared" si="60"/>
        <v>34.5</v>
      </c>
      <c r="Z68" s="15">
        <f t="shared" si="61"/>
        <v>36.300000000000004</v>
      </c>
      <c r="AA68" s="15">
        <f t="shared" si="62"/>
        <v>38.300000000000004</v>
      </c>
      <c r="AB68" s="15">
        <f t="shared" si="63"/>
        <v>40.733333333333327</v>
      </c>
      <c r="AC68" s="7">
        <f t="shared" si="64"/>
        <v>1.3542857142857139</v>
      </c>
      <c r="AD68" s="7">
        <f t="shared" si="75"/>
        <v>1.1342876618950239</v>
      </c>
      <c r="AF68">
        <v>6</v>
      </c>
      <c r="AG68" t="s">
        <v>33</v>
      </c>
      <c r="AH68" s="15">
        <f t="shared" si="65"/>
        <v>363.4583414824956</v>
      </c>
      <c r="AI68" s="15">
        <f t="shared" si="66"/>
        <v>279.94406485951231</v>
      </c>
      <c r="AJ68" s="15">
        <f t="shared" si="67"/>
        <v>314.42143747874388</v>
      </c>
      <c r="AK68" s="15">
        <f t="shared" si="68"/>
        <v>330.10698045472674</v>
      </c>
      <c r="AL68" s="15">
        <f t="shared" si="69"/>
        <v>439.76739847357021</v>
      </c>
      <c r="AM68" s="15">
        <f t="shared" si="70"/>
        <v>438.95707564241764</v>
      </c>
      <c r="AN68" s="15">
        <f t="shared" si="71"/>
        <v>488.00903516988842</v>
      </c>
      <c r="AO68" s="15">
        <f t="shared" si="72"/>
        <v>511.37699177995574</v>
      </c>
      <c r="AQ68">
        <v>8</v>
      </c>
      <c r="AR68" t="s">
        <v>35</v>
      </c>
      <c r="AS68" s="7">
        <f t="shared" si="51"/>
        <v>1.2043867142483842</v>
      </c>
      <c r="AT68" s="7">
        <f t="shared" si="52"/>
        <v>1.2009234374251481</v>
      </c>
      <c r="AU68" s="7">
        <f t="shared" si="53"/>
        <v>1.2261057152199963</v>
      </c>
      <c r="AV68" s="7">
        <f t="shared" si="54"/>
        <v>1.2571585784742039</v>
      </c>
      <c r="AW68" s="7">
        <f t="shared" si="55"/>
        <v>1.2731745396074412</v>
      </c>
      <c r="AX68" s="7">
        <f t="shared" si="56"/>
        <v>1.2435547386331938</v>
      </c>
      <c r="AY68" s="7">
        <f t="shared" si="57"/>
        <v>1.0095029300253286</v>
      </c>
      <c r="AZ68" s="7">
        <f t="shared" si="58"/>
        <v>0.96754680880031663</v>
      </c>
    </row>
    <row r="69" spans="1:52">
      <c r="A69">
        <v>7</v>
      </c>
      <c r="B69" t="s">
        <v>35</v>
      </c>
      <c r="C69" s="25">
        <v>523.79999999999995</v>
      </c>
      <c r="D69" s="25">
        <v>529.6</v>
      </c>
      <c r="E69" s="25">
        <v>538.20000000000005</v>
      </c>
      <c r="F69" s="25">
        <v>546.29999999999995</v>
      </c>
      <c r="G69" s="25">
        <v>551.70000000000005</v>
      </c>
      <c r="H69" s="25">
        <v>561.70000000000005</v>
      </c>
      <c r="I69" s="25">
        <v>572.79999999999995</v>
      </c>
      <c r="J69" s="25">
        <v>585.20000000000005</v>
      </c>
      <c r="K69" s="7">
        <f t="shared" si="59"/>
        <v>1.0617558342594062</v>
      </c>
      <c r="L69" s="7"/>
      <c r="M69" s="14" t="s">
        <v>8</v>
      </c>
      <c r="N69" s="20">
        <v>22.8</v>
      </c>
      <c r="O69" s="20">
        <v>17.8</v>
      </c>
      <c r="P69" s="20">
        <v>14.3</v>
      </c>
      <c r="Q69" s="20">
        <v>11.7</v>
      </c>
      <c r="R69" s="20">
        <v>12.3</v>
      </c>
      <c r="S69" s="20">
        <v>14.1</v>
      </c>
      <c r="T69" s="20">
        <v>13.9</v>
      </c>
      <c r="U69" s="20">
        <v>13</v>
      </c>
      <c r="W69" s="15">
        <f t="shared" si="73"/>
        <v>18.3</v>
      </c>
      <c r="X69" s="15">
        <f t="shared" si="74"/>
        <v>14.6</v>
      </c>
      <c r="Y69" s="15">
        <f t="shared" si="60"/>
        <v>12.766666666666666</v>
      </c>
      <c r="Z69" s="15">
        <f t="shared" si="61"/>
        <v>12.700000000000001</v>
      </c>
      <c r="AA69" s="15">
        <f t="shared" si="62"/>
        <v>13.433333333333332</v>
      </c>
      <c r="AB69" s="15">
        <f t="shared" si="63"/>
        <v>13.666666666666666</v>
      </c>
      <c r="AC69" s="7">
        <f t="shared" si="64"/>
        <v>-0.76380952380952405</v>
      </c>
      <c r="AD69" s="7">
        <f t="shared" si="75"/>
        <v>0.86738949124270226</v>
      </c>
      <c r="AF69">
        <v>7</v>
      </c>
      <c r="AG69" t="s">
        <v>34</v>
      </c>
      <c r="AH69" s="15">
        <f t="shared" si="65"/>
        <v>225.34345785253277</v>
      </c>
      <c r="AI69" s="15">
        <f t="shared" si="66"/>
        <v>179.31177125881916</v>
      </c>
      <c r="AJ69" s="15">
        <f t="shared" si="67"/>
        <v>205.24785171749235</v>
      </c>
      <c r="AK69" s="15">
        <f t="shared" si="68"/>
        <v>204.04267052253689</v>
      </c>
      <c r="AL69" s="15">
        <f t="shared" si="69"/>
        <v>227.47067747102608</v>
      </c>
      <c r="AM69" s="15">
        <f t="shared" si="70"/>
        <v>264.01048678972131</v>
      </c>
      <c r="AN69" s="15">
        <f t="shared" si="71"/>
        <v>287.15100911181128</v>
      </c>
      <c r="AO69" s="15">
        <f t="shared" si="72"/>
        <v>303.18624723363894</v>
      </c>
      <c r="AQ69">
        <v>9</v>
      </c>
      <c r="AR69" t="s">
        <v>36</v>
      </c>
      <c r="AS69" s="7">
        <f t="shared" si="51"/>
        <v>1.2389634486324574</v>
      </c>
      <c r="AT69" s="7">
        <f t="shared" si="52"/>
        <v>1.2530041290106959</v>
      </c>
      <c r="AU69" s="7">
        <f t="shared" si="53"/>
        <v>1.2858748146662669</v>
      </c>
      <c r="AV69" s="7">
        <f t="shared" si="54"/>
        <v>1.3153906253607623</v>
      </c>
      <c r="AW69" s="7">
        <f t="shared" si="55"/>
        <v>1.3608381327953747</v>
      </c>
      <c r="AX69" s="7">
        <f t="shared" si="56"/>
        <v>1.3103166675083273</v>
      </c>
      <c r="AY69" s="7">
        <f t="shared" si="57"/>
        <v>1.0636994689631047</v>
      </c>
      <c r="AZ69" s="7">
        <f t="shared" si="58"/>
        <v>1.0194908762592905</v>
      </c>
    </row>
    <row r="70" spans="1:52">
      <c r="A70">
        <v>8</v>
      </c>
      <c r="B70" t="s">
        <v>36</v>
      </c>
      <c r="C70" s="25">
        <v>142.1</v>
      </c>
      <c r="D70" s="25">
        <v>143.80000000000001</v>
      </c>
      <c r="E70" s="25">
        <v>145.1</v>
      </c>
      <c r="F70" s="25">
        <v>179.6</v>
      </c>
      <c r="G70" s="25">
        <v>182.8</v>
      </c>
      <c r="H70" s="25">
        <v>189.5</v>
      </c>
      <c r="I70" s="25">
        <v>195.7</v>
      </c>
      <c r="J70" s="25">
        <v>201.6</v>
      </c>
      <c r="K70" s="7">
        <f t="shared" si="59"/>
        <v>1.1685263005361541</v>
      </c>
      <c r="L70" s="7"/>
      <c r="M70" s="14" t="s">
        <v>9</v>
      </c>
      <c r="N70" s="20">
        <v>47.4</v>
      </c>
      <c r="O70" s="20">
        <v>36.4</v>
      </c>
      <c r="P70" s="20">
        <v>37.4</v>
      </c>
      <c r="Q70" s="20">
        <v>36.4</v>
      </c>
      <c r="R70" s="20">
        <v>36.700000000000003</v>
      </c>
      <c r="S70" s="20">
        <v>43.6</v>
      </c>
      <c r="T70" s="20">
        <v>44.4</v>
      </c>
      <c r="U70" s="20">
        <v>45.5</v>
      </c>
      <c r="W70" s="15">
        <f t="shared" si="73"/>
        <v>40.4</v>
      </c>
      <c r="X70" s="15">
        <f t="shared" si="74"/>
        <v>36.733333333333327</v>
      </c>
      <c r="Y70" s="15">
        <f t="shared" si="60"/>
        <v>36.833333333333336</v>
      </c>
      <c r="Z70" s="15">
        <f t="shared" si="61"/>
        <v>38.9</v>
      </c>
      <c r="AA70" s="15">
        <f t="shared" si="62"/>
        <v>41.56666666666667</v>
      </c>
      <c r="AB70" s="15">
        <f t="shared" si="63"/>
        <v>44.5</v>
      </c>
      <c r="AC70" s="7">
        <f t="shared" si="64"/>
        <v>1.0590476190476199</v>
      </c>
      <c r="AD70" s="7">
        <f t="shared" si="75"/>
        <v>1.1104331909701037</v>
      </c>
      <c r="AF70">
        <v>8</v>
      </c>
      <c r="AG70" t="s">
        <v>35</v>
      </c>
      <c r="AH70" s="15">
        <f t="shared" si="65"/>
        <v>241.52515157441817</v>
      </c>
      <c r="AI70" s="15">
        <f t="shared" si="66"/>
        <v>181.66159178116104</v>
      </c>
      <c r="AJ70" s="15">
        <f t="shared" si="67"/>
        <v>207.45117333635642</v>
      </c>
      <c r="AK70" s="15">
        <f t="shared" si="68"/>
        <v>212.98173115277223</v>
      </c>
      <c r="AL70" s="15">
        <f t="shared" si="69"/>
        <v>241.40685951191935</v>
      </c>
      <c r="AM70" s="15">
        <f t="shared" si="70"/>
        <v>281.23172276511036</v>
      </c>
      <c r="AN70" s="15">
        <f t="shared" si="71"/>
        <v>311.00147321808737</v>
      </c>
      <c r="AO70" s="15">
        <f t="shared" si="72"/>
        <v>337.23688744862471</v>
      </c>
      <c r="AQ70">
        <v>10</v>
      </c>
      <c r="AR70" t="s">
        <v>37</v>
      </c>
      <c r="AS70" s="7">
        <f t="shared" si="51"/>
        <v>1.0727091201423697</v>
      </c>
      <c r="AT70" s="7">
        <f t="shared" si="52"/>
        <v>1.0907484728143373</v>
      </c>
      <c r="AU70" s="7">
        <f t="shared" si="53"/>
        <v>1.1219869065599211</v>
      </c>
      <c r="AV70" s="7">
        <f t="shared" si="54"/>
        <v>1.1488509564963756</v>
      </c>
      <c r="AW70" s="7">
        <f t="shared" si="55"/>
        <v>1.1694006837275648</v>
      </c>
      <c r="AX70" s="7">
        <f t="shared" si="56"/>
        <v>1.1265856058256367</v>
      </c>
      <c r="AY70" s="7">
        <f t="shared" si="57"/>
        <v>0.91454878074394308</v>
      </c>
      <c r="AZ70" s="7">
        <f t="shared" si="58"/>
        <v>0.87653906490278444</v>
      </c>
    </row>
    <row r="71" spans="1:52">
      <c r="A71">
        <v>9</v>
      </c>
      <c r="B71" t="s">
        <v>37</v>
      </c>
      <c r="C71" s="25">
        <v>87.5</v>
      </c>
      <c r="D71" s="25">
        <v>88.2</v>
      </c>
      <c r="E71" s="25">
        <v>89</v>
      </c>
      <c r="F71" s="25">
        <v>90.4</v>
      </c>
      <c r="G71" s="25">
        <v>91.3</v>
      </c>
      <c r="H71" s="25">
        <v>93.4</v>
      </c>
      <c r="I71" s="25">
        <v>96.2</v>
      </c>
      <c r="J71" s="25">
        <v>99.3</v>
      </c>
      <c r="K71" s="7">
        <f t="shared" si="59"/>
        <v>1.0803753569971439</v>
      </c>
      <c r="L71" s="7"/>
      <c r="M71" s="14" t="s">
        <v>10</v>
      </c>
      <c r="N71" s="20">
        <v>43.3</v>
      </c>
      <c r="O71" s="20">
        <v>33.1</v>
      </c>
      <c r="P71" s="20">
        <v>36.1</v>
      </c>
      <c r="Q71" s="20">
        <v>33.700000000000003</v>
      </c>
      <c r="R71" s="20">
        <v>35.9</v>
      </c>
      <c r="S71" s="20">
        <v>42.5</v>
      </c>
      <c r="T71" s="20">
        <v>43.5</v>
      </c>
      <c r="U71" s="20">
        <v>44.9</v>
      </c>
      <c r="W71" s="15">
        <f t="shared" si="73"/>
        <v>37.5</v>
      </c>
      <c r="X71" s="15">
        <f t="shared" si="74"/>
        <v>34.300000000000004</v>
      </c>
      <c r="Y71" s="15">
        <f t="shared" si="60"/>
        <v>35.233333333333341</v>
      </c>
      <c r="Z71" s="15">
        <f t="shared" si="61"/>
        <v>37.366666666666667</v>
      </c>
      <c r="AA71" s="15">
        <f t="shared" si="62"/>
        <v>40.633333333333333</v>
      </c>
      <c r="AB71" s="15">
        <f t="shared" si="63"/>
        <v>43.633333333333333</v>
      </c>
      <c r="AC71" s="7">
        <f t="shared" si="64"/>
        <v>1.4799999999999995</v>
      </c>
      <c r="AD71" s="7">
        <f t="shared" si="75"/>
        <v>1.1476038338658148</v>
      </c>
      <c r="AF71">
        <v>9</v>
      </c>
      <c r="AG71" t="s">
        <v>36</v>
      </c>
      <c r="AH71" s="15">
        <f t="shared" si="65"/>
        <v>252.09458243692549</v>
      </c>
      <c r="AI71" s="15">
        <f t="shared" si="66"/>
        <v>200.65727193959648</v>
      </c>
      <c r="AJ71" s="15">
        <f t="shared" si="67"/>
        <v>229.65942636889241</v>
      </c>
      <c r="AK71" s="15">
        <f t="shared" si="68"/>
        <v>228.44182289589151</v>
      </c>
      <c r="AL71" s="15">
        <f t="shared" si="69"/>
        <v>263.8628757184585</v>
      </c>
      <c r="AM71" s="15">
        <f t="shared" si="70"/>
        <v>308.38667209554831</v>
      </c>
      <c r="AN71" s="15">
        <f t="shared" si="71"/>
        <v>350.44437537256238</v>
      </c>
      <c r="AO71" s="15">
        <f t="shared" si="72"/>
        <v>368.38678469807144</v>
      </c>
      <c r="AQ71">
        <v>11</v>
      </c>
      <c r="AR71" t="s">
        <v>39</v>
      </c>
      <c r="AS71" s="7">
        <f t="shared" si="51"/>
        <v>1.0361446470900404</v>
      </c>
      <c r="AT71" s="7">
        <f t="shared" si="52"/>
        <v>1.1524497940578868</v>
      </c>
      <c r="AU71" s="7">
        <f t="shared" si="53"/>
        <v>1.219680002371847</v>
      </c>
      <c r="AV71" s="7">
        <f t="shared" si="54"/>
        <v>1.2902453595216299</v>
      </c>
      <c r="AW71" s="7">
        <f t="shared" si="55"/>
        <v>1.3431913062106438</v>
      </c>
      <c r="AX71" s="7">
        <f t="shared" si="56"/>
        <v>1.2278435597733486</v>
      </c>
      <c r="AY71" s="7">
        <f t="shared" si="57"/>
        <v>0.99674878209727025</v>
      </c>
      <c r="AZ71" s="7">
        <f t="shared" si="58"/>
        <v>0.95532273816146229</v>
      </c>
    </row>
    <row r="72" spans="1:52">
      <c r="A72">
        <v>10</v>
      </c>
      <c r="B72" t="s">
        <v>40</v>
      </c>
      <c r="C72" s="25">
        <v>139.30000000000001</v>
      </c>
      <c r="D72" s="25">
        <v>140.19999999999999</v>
      </c>
      <c r="E72" s="25">
        <v>141.69999999999999</v>
      </c>
      <c r="F72" s="25">
        <v>143.69999999999999</v>
      </c>
      <c r="G72" s="25">
        <v>145</v>
      </c>
      <c r="H72" s="25">
        <v>146.69999999999999</v>
      </c>
      <c r="I72" s="25">
        <v>149.9</v>
      </c>
      <c r="J72" s="25">
        <v>153.1</v>
      </c>
      <c r="K72" s="7">
        <f t="shared" si="59"/>
        <v>1.0562262849258366</v>
      </c>
      <c r="L72" s="7"/>
      <c r="M72" s="14" t="s">
        <v>11</v>
      </c>
      <c r="N72" s="20">
        <v>43.8</v>
      </c>
      <c r="O72" s="20">
        <v>35.700000000000003</v>
      </c>
      <c r="P72" s="20">
        <v>35.6</v>
      </c>
      <c r="Q72" s="20">
        <v>35.9</v>
      </c>
      <c r="R72" s="20">
        <v>36.4</v>
      </c>
      <c r="S72" s="20">
        <v>40.5</v>
      </c>
      <c r="T72" s="20">
        <v>40.4</v>
      </c>
      <c r="U72" s="20">
        <v>41.9</v>
      </c>
      <c r="W72" s="15">
        <f t="shared" si="73"/>
        <v>38.366666666666667</v>
      </c>
      <c r="X72" s="15">
        <f t="shared" si="74"/>
        <v>35.733333333333341</v>
      </c>
      <c r="Y72" s="15">
        <f t="shared" si="60"/>
        <v>35.966666666666669</v>
      </c>
      <c r="Z72" s="15">
        <f t="shared" si="61"/>
        <v>37.6</v>
      </c>
      <c r="AA72" s="15">
        <f t="shared" si="62"/>
        <v>39.1</v>
      </c>
      <c r="AB72" s="15">
        <f t="shared" si="63"/>
        <v>40.933333333333337</v>
      </c>
      <c r="AC72" s="7">
        <f t="shared" si="64"/>
        <v>0.7019047619047617</v>
      </c>
      <c r="AD72" s="7">
        <f t="shared" si="75"/>
        <v>1.0805931656995487</v>
      </c>
      <c r="AF72">
        <v>10</v>
      </c>
      <c r="AG72" t="s">
        <v>37</v>
      </c>
      <c r="AH72" s="15">
        <f t="shared" si="65"/>
        <v>238.64707608057893</v>
      </c>
      <c r="AI72" s="15">
        <f t="shared" si="66"/>
        <v>180.22617898254734</v>
      </c>
      <c r="AJ72" s="15">
        <f t="shared" si="67"/>
        <v>216.26222650493142</v>
      </c>
      <c r="AK72" s="15">
        <f t="shared" si="68"/>
        <v>214.85760869565217</v>
      </c>
      <c r="AL72" s="15">
        <f t="shared" si="69"/>
        <v>246.42890794308866</v>
      </c>
      <c r="AM72" s="15">
        <f t="shared" si="70"/>
        <v>285.30473217517192</v>
      </c>
      <c r="AN72" s="15">
        <f t="shared" si="71"/>
        <v>303.87268159754746</v>
      </c>
      <c r="AO72" s="15">
        <f t="shared" si="72"/>
        <v>330.81114448308568</v>
      </c>
      <c r="AQ72">
        <v>12</v>
      </c>
      <c r="AR72" t="s">
        <v>100</v>
      </c>
      <c r="AS72" s="7">
        <f t="shared" si="51"/>
        <v>1.3400608358305666</v>
      </c>
      <c r="AT72" s="7">
        <f t="shared" si="52"/>
        <v>1.3667971177215723</v>
      </c>
      <c r="AU72" s="7">
        <f t="shared" si="53"/>
        <v>1.3699402106145822</v>
      </c>
      <c r="AV72" s="7">
        <f t="shared" si="54"/>
        <v>1.3973954033672296</v>
      </c>
      <c r="AW72" s="7">
        <f t="shared" si="55"/>
        <v>1.4038316163805875</v>
      </c>
      <c r="AX72" s="7">
        <f t="shared" si="56"/>
        <v>1.3819934769645477</v>
      </c>
      <c r="AY72" s="7">
        <f t="shared" si="57"/>
        <v>1.1218858494359507</v>
      </c>
      <c r="AZ72" s="7">
        <f t="shared" si="58"/>
        <v>1.0752589627776037</v>
      </c>
    </row>
    <row r="73" spans="1:52">
      <c r="A73">
        <v>11</v>
      </c>
      <c r="B73" t="s">
        <v>41</v>
      </c>
      <c r="C73" s="15">
        <v>2424.1</v>
      </c>
      <c r="D73" s="15">
        <v>2464.9</v>
      </c>
      <c r="E73" s="15">
        <v>2509.9</v>
      </c>
      <c r="F73" s="15">
        <v>2571.6999999999998</v>
      </c>
      <c r="G73" s="15">
        <v>2694.4</v>
      </c>
      <c r="H73" s="15">
        <v>2860.6</v>
      </c>
      <c r="I73" s="15">
        <v>2956.4</v>
      </c>
      <c r="J73" s="15">
        <v>3040.8</v>
      </c>
      <c r="K73" s="7">
        <f t="shared" si="59"/>
        <v>1.1302618618395377</v>
      </c>
      <c r="L73" s="7"/>
      <c r="M73" s="14" t="s">
        <v>12</v>
      </c>
      <c r="N73" s="20">
        <v>33.5</v>
      </c>
      <c r="O73" s="20">
        <v>29.8</v>
      </c>
      <c r="P73" s="20">
        <v>27.2</v>
      </c>
      <c r="Q73" s="20">
        <v>28.1</v>
      </c>
      <c r="R73" s="20">
        <v>28</v>
      </c>
      <c r="S73" s="20">
        <v>31.7</v>
      </c>
      <c r="T73" s="20">
        <v>31.3</v>
      </c>
      <c r="U73" s="20">
        <v>32.5</v>
      </c>
      <c r="W73" s="15">
        <f t="shared" si="73"/>
        <v>30.166666666666668</v>
      </c>
      <c r="X73" s="15">
        <f t="shared" si="74"/>
        <v>28.366666666666664</v>
      </c>
      <c r="Y73" s="15">
        <f t="shared" si="60"/>
        <v>27.766666666666666</v>
      </c>
      <c r="Z73" s="15">
        <f t="shared" si="61"/>
        <v>29.266666666666666</v>
      </c>
      <c r="AA73" s="15">
        <f t="shared" si="62"/>
        <v>30.333333333333332</v>
      </c>
      <c r="AB73" s="15">
        <f t="shared" si="63"/>
        <v>31.833333333333332</v>
      </c>
      <c r="AC73" s="7">
        <f t="shared" si="64"/>
        <v>0.44952380952380938</v>
      </c>
      <c r="AD73" s="7">
        <f t="shared" si="75"/>
        <v>1.07393638992152</v>
      </c>
      <c r="AF73">
        <v>13</v>
      </c>
      <c r="AG73" t="s">
        <v>40</v>
      </c>
      <c r="AH73" s="15">
        <f t="shared" si="65"/>
        <v>243.26426755329553</v>
      </c>
      <c r="AI73" s="15">
        <f t="shared" si="66"/>
        <v>193.51392499071667</v>
      </c>
      <c r="AJ73" s="15">
        <f t="shared" si="67"/>
        <v>227.25120734610587</v>
      </c>
      <c r="AK73" s="15">
        <f t="shared" si="68"/>
        <v>236.38353609892303</v>
      </c>
      <c r="AL73" s="15">
        <f t="shared" si="69"/>
        <v>271.68703476867989</v>
      </c>
      <c r="AM73" s="15">
        <f t="shared" si="70"/>
        <v>317.36506514657981</v>
      </c>
      <c r="AN73" s="15">
        <f t="shared" si="71"/>
        <v>357.39327258792474</v>
      </c>
      <c r="AO73" s="15">
        <f t="shared" si="72"/>
        <v>388.78846032247861</v>
      </c>
      <c r="AQ73">
        <v>13</v>
      </c>
      <c r="AR73" t="s">
        <v>40</v>
      </c>
      <c r="AS73" s="7">
        <f t="shared" si="51"/>
        <v>1.1687356327744496</v>
      </c>
      <c r="AT73" s="7">
        <f t="shared" si="52"/>
        <v>1.1826653340423041</v>
      </c>
      <c r="AU73" s="7">
        <f t="shared" si="53"/>
        <v>1.2165194356097029</v>
      </c>
      <c r="AV73" s="7">
        <f t="shared" si="54"/>
        <v>1.2662364985124483</v>
      </c>
      <c r="AW73" s="7">
        <f t="shared" si="55"/>
        <v>1.3061914133373123</v>
      </c>
      <c r="AX73" s="7">
        <f t="shared" si="56"/>
        <v>1.2535556647759816</v>
      </c>
      <c r="AY73" s="7">
        <f t="shared" si="57"/>
        <v>1.0176215627886984</v>
      </c>
      <c r="AZ73" s="7">
        <f t="shared" si="58"/>
        <v>0.97532802170063282</v>
      </c>
    </row>
    <row r="74" spans="1:52">
      <c r="A74">
        <v>12</v>
      </c>
      <c r="B74" t="s">
        <v>39</v>
      </c>
      <c r="C74" s="25">
        <v>0</v>
      </c>
      <c r="D74" s="25">
        <v>47.7</v>
      </c>
      <c r="E74" s="25">
        <v>48.2</v>
      </c>
      <c r="F74" s="25">
        <v>48.7</v>
      </c>
      <c r="G74" s="25">
        <v>51.4</v>
      </c>
      <c r="H74" s="25">
        <v>52.7</v>
      </c>
      <c r="I74" s="25">
        <v>54.1</v>
      </c>
      <c r="J74" s="25">
        <v>56.2</v>
      </c>
      <c r="K74" s="7">
        <f t="shared" si="59"/>
        <v>1.252367688022284</v>
      </c>
      <c r="L74" s="7"/>
      <c r="M74" s="14" t="s">
        <v>13</v>
      </c>
      <c r="N74" s="20">
        <v>34.5</v>
      </c>
      <c r="O74" s="20">
        <v>26.8</v>
      </c>
      <c r="P74" s="20">
        <v>25.1</v>
      </c>
      <c r="Q74" s="20">
        <v>24</v>
      </c>
      <c r="R74" s="20">
        <v>23.2</v>
      </c>
      <c r="S74" s="20">
        <v>27.3</v>
      </c>
      <c r="T74" s="20">
        <v>28.7</v>
      </c>
      <c r="U74" s="20">
        <v>30.6</v>
      </c>
      <c r="W74" s="15">
        <f t="shared" si="73"/>
        <v>28.8</v>
      </c>
      <c r="X74" s="15">
        <f t="shared" si="74"/>
        <v>25.3</v>
      </c>
      <c r="Y74" s="15">
        <f t="shared" si="60"/>
        <v>24.099999999999998</v>
      </c>
      <c r="Z74" s="15">
        <f t="shared" si="61"/>
        <v>24.833333333333332</v>
      </c>
      <c r="AA74" s="15">
        <f t="shared" si="62"/>
        <v>26.400000000000002</v>
      </c>
      <c r="AB74" s="15">
        <f t="shared" si="63"/>
        <v>28.866666666666664</v>
      </c>
      <c r="AC74" s="7">
        <f t="shared" si="64"/>
        <v>0.12476190476190427</v>
      </c>
      <c r="AD74" s="7">
        <f t="shared" si="75"/>
        <v>1.1117166212534062</v>
      </c>
      <c r="AF74">
        <v>14</v>
      </c>
      <c r="AG74" t="s">
        <v>41</v>
      </c>
      <c r="AH74" s="15">
        <f t="shared" si="65"/>
        <v>336.63672990416586</v>
      </c>
      <c r="AI74" s="15">
        <f t="shared" si="66"/>
        <v>261.8566035400421</v>
      </c>
      <c r="AJ74" s="15">
        <f t="shared" si="67"/>
        <v>310.61787779163359</v>
      </c>
      <c r="AK74" s="15">
        <f t="shared" si="68"/>
        <v>325.86781013163142</v>
      </c>
      <c r="AL74" s="15">
        <f t="shared" si="69"/>
        <v>376.82977480448506</v>
      </c>
      <c r="AM74" s="15">
        <f t="shared" si="70"/>
        <v>435.90617987694532</v>
      </c>
      <c r="AN74" s="15">
        <f t="shared" si="71"/>
        <v>514.95165630588428</v>
      </c>
      <c r="AO74" s="15">
        <f t="shared" si="72"/>
        <v>570.01034619032566</v>
      </c>
      <c r="AS74" s="7"/>
      <c r="AT74" s="7"/>
      <c r="AU74" s="7"/>
      <c r="AV74" s="7"/>
      <c r="AW74" s="23" t="s">
        <v>101</v>
      </c>
      <c r="AX74" s="23">
        <f>AVERAGE(AX61:AX73)</f>
        <v>1.2318485678907269</v>
      </c>
      <c r="AY74">
        <v>1</v>
      </c>
      <c r="AZ74" s="7">
        <f t="shared" ref="AZ74" si="76">AX74/$AZ$57</f>
        <v>0.95843883164959287</v>
      </c>
    </row>
    <row r="75" spans="1:52">
      <c r="A75">
        <v>13</v>
      </c>
      <c r="B75" t="s">
        <v>28</v>
      </c>
      <c r="C75" s="25">
        <v>307.39999999999998</v>
      </c>
      <c r="D75" s="25">
        <v>310.89999999999998</v>
      </c>
      <c r="E75" s="25">
        <v>314.89999999999998</v>
      </c>
      <c r="F75" s="25">
        <v>319.60000000000002</v>
      </c>
      <c r="G75" s="25">
        <v>323.8</v>
      </c>
      <c r="H75" s="25">
        <v>329</v>
      </c>
      <c r="I75" s="25">
        <v>334.6</v>
      </c>
      <c r="J75" s="25">
        <v>339.2</v>
      </c>
      <c r="K75" s="7">
        <f t="shared" si="59"/>
        <v>1.0520276033186013</v>
      </c>
      <c r="L75" s="7"/>
      <c r="M75" s="14" t="s">
        <v>14</v>
      </c>
      <c r="N75" s="20">
        <v>45.8</v>
      </c>
      <c r="O75" s="20">
        <v>36.299999999999997</v>
      </c>
      <c r="P75" s="20">
        <v>38.299999999999997</v>
      </c>
      <c r="Q75" s="20">
        <v>37.700000000000003</v>
      </c>
      <c r="R75" s="20">
        <v>37.799999999999997</v>
      </c>
      <c r="S75" s="20">
        <v>42.7</v>
      </c>
      <c r="T75" s="20">
        <v>43.3</v>
      </c>
      <c r="U75" s="20">
        <v>44.7</v>
      </c>
      <c r="W75" s="15">
        <f t="shared" si="73"/>
        <v>40.133333333333333</v>
      </c>
      <c r="X75" s="15">
        <f t="shared" si="74"/>
        <v>37.43333333333333</v>
      </c>
      <c r="Y75" s="15">
        <f t="shared" si="60"/>
        <v>37.93333333333333</v>
      </c>
      <c r="Z75" s="15">
        <f t="shared" si="61"/>
        <v>39.4</v>
      </c>
      <c r="AA75" s="15">
        <f t="shared" si="62"/>
        <v>41.266666666666666</v>
      </c>
      <c r="AB75" s="15">
        <f t="shared" si="63"/>
        <v>43.566666666666663</v>
      </c>
      <c r="AC75" s="7">
        <f t="shared" si="64"/>
        <v>0.86095238095238058</v>
      </c>
      <c r="AD75" s="7">
        <f t="shared" si="75"/>
        <v>1.0949173300673609</v>
      </c>
      <c r="AF75">
        <v>11</v>
      </c>
      <c r="AG75" t="s">
        <v>39</v>
      </c>
      <c r="AH75" s="15">
        <f t="shared" si="65"/>
        <v>244.73352239389791</v>
      </c>
      <c r="AI75" s="15">
        <f t="shared" si="66"/>
        <v>224.92770144819903</v>
      </c>
      <c r="AJ75" s="15">
        <f t="shared" si="67"/>
        <v>262.75229565808866</v>
      </c>
      <c r="AK75" s="15">
        <f t="shared" si="68"/>
        <v>288.96088950937371</v>
      </c>
      <c r="AL75" s="15">
        <f t="shared" si="69"/>
        <v>332.91857156317724</v>
      </c>
      <c r="AM75" s="15">
        <f t="shared" si="70"/>
        <v>386.94212812160697</v>
      </c>
      <c r="AN75" s="15">
        <f t="shared" si="71"/>
        <v>447.1600698288342</v>
      </c>
      <c r="AO75" s="15">
        <f t="shared" si="72"/>
        <v>450.88518811255142</v>
      </c>
    </row>
    <row r="76" spans="1:52">
      <c r="C76" s="15"/>
      <c r="D76" s="15"/>
      <c r="E76" s="15"/>
      <c r="F76" s="15"/>
      <c r="G76" s="15"/>
      <c r="H76" s="15"/>
      <c r="I76" s="15"/>
      <c r="J76" s="15">
        <f>SUM(J63:J75)</f>
        <v>6599.9</v>
      </c>
      <c r="L76">
        <f t="shared" ref="L76:L77" si="77">K76/K57</f>
        <v>0</v>
      </c>
      <c r="M76" s="14" t="s">
        <v>15</v>
      </c>
      <c r="N76" s="20">
        <v>45.1</v>
      </c>
      <c r="O76" s="20">
        <v>33.4</v>
      </c>
      <c r="P76" s="20">
        <v>35.6</v>
      </c>
      <c r="Q76" s="20">
        <v>34.5</v>
      </c>
      <c r="R76" s="20">
        <v>33.799999999999997</v>
      </c>
      <c r="S76" s="20">
        <v>37.200000000000003</v>
      </c>
      <c r="T76" s="20">
        <v>38.6</v>
      </c>
      <c r="U76" s="20">
        <v>40.299999999999997</v>
      </c>
      <c r="W76" s="15">
        <f t="shared" si="73"/>
        <v>38.033333333333331</v>
      </c>
      <c r="X76" s="15">
        <f t="shared" si="74"/>
        <v>34.5</v>
      </c>
      <c r="Y76" s="15">
        <f t="shared" si="60"/>
        <v>34.633333333333333</v>
      </c>
      <c r="Z76" s="15">
        <f t="shared" si="61"/>
        <v>35.166666666666664</v>
      </c>
      <c r="AA76" s="15">
        <f t="shared" si="62"/>
        <v>36.533333333333331</v>
      </c>
      <c r="AB76" s="15">
        <f t="shared" si="63"/>
        <v>38.700000000000003</v>
      </c>
      <c r="AC76" s="7">
        <f t="shared" si="64"/>
        <v>0.28476190476190522</v>
      </c>
      <c r="AD76" s="7">
        <f t="shared" si="75"/>
        <v>1.0800670016750418</v>
      </c>
      <c r="AF76">
        <v>1</v>
      </c>
      <c r="AG76" t="s">
        <v>28</v>
      </c>
      <c r="AH76" s="15">
        <f t="shared" si="65"/>
        <v>290.37928808918446</v>
      </c>
      <c r="AI76" s="15">
        <f t="shared" si="66"/>
        <v>238.94683747988611</v>
      </c>
      <c r="AJ76" s="15">
        <f t="shared" si="67"/>
        <v>267.72121074708082</v>
      </c>
      <c r="AK76" s="15">
        <f t="shared" si="68"/>
        <v>262.23336657359397</v>
      </c>
      <c r="AL76" s="15">
        <f t="shared" si="69"/>
        <v>294.38564025252049</v>
      </c>
      <c r="AM76" s="15">
        <f t="shared" si="70"/>
        <v>335.76043250090481</v>
      </c>
      <c r="AN76" s="15">
        <f t="shared" si="71"/>
        <v>367.43606403815039</v>
      </c>
      <c r="AO76" s="15">
        <f t="shared" si="72"/>
        <v>403.78954315523237</v>
      </c>
      <c r="AW76" t="s">
        <v>102</v>
      </c>
      <c r="AY76" t="s">
        <v>103</v>
      </c>
    </row>
    <row r="77" spans="1:52">
      <c r="L77">
        <f t="shared" si="77"/>
        <v>0</v>
      </c>
      <c r="M77" s="14" t="s">
        <v>16</v>
      </c>
      <c r="N77" s="20">
        <v>60.4</v>
      </c>
      <c r="O77" s="20">
        <v>57.6</v>
      </c>
      <c r="P77" s="19">
        <v>55.4</v>
      </c>
      <c r="Q77" s="19">
        <v>56</v>
      </c>
      <c r="R77" s="19">
        <v>54.8</v>
      </c>
      <c r="S77" s="19">
        <v>57.3</v>
      </c>
      <c r="T77" s="19">
        <v>61.4</v>
      </c>
      <c r="U77" s="21">
        <v>63</v>
      </c>
      <c r="W77" s="15">
        <f t="shared" si="73"/>
        <v>57.800000000000004</v>
      </c>
      <c r="X77" s="15">
        <f t="shared" si="74"/>
        <v>56.333333333333336</v>
      </c>
      <c r="Y77" s="15">
        <f t="shared" si="60"/>
        <v>55.4</v>
      </c>
      <c r="Z77" s="15">
        <f t="shared" si="61"/>
        <v>56.033333333333331</v>
      </c>
      <c r="AA77" s="15">
        <f t="shared" si="62"/>
        <v>57.833333333333336</v>
      </c>
      <c r="AB77" s="15">
        <f t="shared" si="63"/>
        <v>60.566666666666663</v>
      </c>
      <c r="AC77" s="7">
        <f t="shared" si="64"/>
        <v>0.54190476190476078</v>
      </c>
      <c r="AD77" s="7">
        <f t="shared" si="75"/>
        <v>1.0817772054088861</v>
      </c>
      <c r="AF77">
        <v>12</v>
      </c>
      <c r="AG77" t="s">
        <v>100</v>
      </c>
      <c r="AH77" s="15">
        <f>AH57/C$19</f>
        <v>271.88318012908275</v>
      </c>
      <c r="AI77" s="15">
        <f t="shared" ref="AI77:AO77" si="78">AI57/D$19</f>
        <v>213.6531253868053</v>
      </c>
      <c r="AJ77" s="15">
        <f t="shared" si="78"/>
        <v>240.52749121414806</v>
      </c>
      <c r="AK77" s="15">
        <f t="shared" si="78"/>
        <v>250.80431790985244</v>
      </c>
      <c r="AL77" s="15">
        <f t="shared" si="78"/>
        <v>266.46071798737398</v>
      </c>
      <c r="AM77" s="15">
        <f t="shared" si="78"/>
        <v>322.53365001809624</v>
      </c>
      <c r="AN77" s="15">
        <f t="shared" si="78"/>
        <v>347.64120752788898</v>
      </c>
      <c r="AO77" s="15">
        <f t="shared" si="78"/>
        <v>360.23230319317099</v>
      </c>
    </row>
    <row r="80" spans="1:52">
      <c r="I80">
        <f>J76/J58*100</f>
        <v>17.934608340262717</v>
      </c>
      <c r="J80" t="s">
        <v>74</v>
      </c>
    </row>
    <row r="81" spans="2:17">
      <c r="J81" t="s">
        <v>75</v>
      </c>
    </row>
    <row r="82" spans="2:17">
      <c r="B82" s="18"/>
    </row>
    <row r="83" spans="2:17">
      <c r="B83" s="19"/>
      <c r="C83" s="19"/>
      <c r="D83" s="19"/>
      <c r="E83" s="19"/>
      <c r="F83" s="19"/>
      <c r="H83" s="19"/>
      <c r="I83" s="19"/>
      <c r="J83" s="19"/>
      <c r="K83" s="19"/>
      <c r="M83" s="19"/>
      <c r="N83" s="19"/>
      <c r="O83" s="19"/>
      <c r="P83" s="19"/>
    </row>
    <row r="84" spans="2:17">
      <c r="B84" s="19"/>
      <c r="C84" s="20"/>
      <c r="D84" s="20"/>
      <c r="E84" s="20"/>
      <c r="F84" s="20"/>
      <c r="H84" s="19"/>
      <c r="I84" s="20"/>
      <c r="J84" s="20"/>
      <c r="K84" s="20"/>
      <c r="M84" s="20"/>
      <c r="N84" s="19"/>
      <c r="O84" s="19"/>
      <c r="P84" s="19"/>
    </row>
    <row r="85" spans="2:17" ht="15.75" thickBot="1">
      <c r="B85" s="20"/>
      <c r="C85" s="20"/>
      <c r="D85" s="20"/>
      <c r="E85" s="20"/>
      <c r="F85" s="20"/>
      <c r="H85" s="20"/>
      <c r="I85" s="20"/>
      <c r="J85" s="20"/>
      <c r="K85" s="20"/>
      <c r="M85" s="20"/>
      <c r="N85" s="20"/>
      <c r="O85" s="20"/>
      <c r="P85" s="20"/>
    </row>
    <row r="86" spans="2:17" ht="32.25" thickBot="1">
      <c r="B86" s="20"/>
      <c r="C86" s="20"/>
      <c r="D86" s="20"/>
      <c r="E86" s="20"/>
      <c r="F86" s="20"/>
      <c r="H86" s="20"/>
      <c r="I86" s="20"/>
      <c r="J86" s="20"/>
      <c r="K86" s="20"/>
      <c r="M86" s="31" t="s">
        <v>1</v>
      </c>
      <c r="N86" s="32" t="s">
        <v>82</v>
      </c>
      <c r="O86" s="32" t="s">
        <v>45</v>
      </c>
      <c r="P86" s="32" t="s">
        <v>46</v>
      </c>
      <c r="Q86" s="32" t="s">
        <v>83</v>
      </c>
    </row>
    <row r="87" spans="2:17" ht="32.25" thickBot="1">
      <c r="B87" s="20"/>
      <c r="C87" s="20"/>
      <c r="D87" s="20"/>
      <c r="E87" s="20"/>
      <c r="F87" s="20"/>
      <c r="H87" s="20"/>
      <c r="I87" s="20"/>
      <c r="J87" s="20"/>
      <c r="K87" s="20"/>
      <c r="M87" s="33" t="s">
        <v>3</v>
      </c>
      <c r="N87" s="34">
        <v>0.92</v>
      </c>
      <c r="O87" s="34">
        <v>0.8</v>
      </c>
      <c r="P87" s="34">
        <v>0.99</v>
      </c>
      <c r="Q87" s="34">
        <v>1.17</v>
      </c>
    </row>
    <row r="88" spans="2:17" ht="16.5" thickBot="1">
      <c r="B88" s="20"/>
      <c r="C88" s="20"/>
      <c r="D88" s="20"/>
      <c r="E88" s="20"/>
      <c r="F88" s="20"/>
      <c r="H88" s="20"/>
      <c r="I88" s="20"/>
      <c r="J88" s="20"/>
      <c r="K88" s="20"/>
      <c r="M88" s="33" t="s">
        <v>4</v>
      </c>
      <c r="N88" s="34">
        <v>0.81</v>
      </c>
      <c r="O88" s="34">
        <v>1.21</v>
      </c>
      <c r="P88" s="34">
        <v>1.05</v>
      </c>
      <c r="Q88" s="34">
        <v>1.07</v>
      </c>
    </row>
    <row r="89" spans="2:17" ht="16.5" thickBot="1">
      <c r="B89" s="20"/>
      <c r="C89" s="20"/>
      <c r="D89" s="20"/>
      <c r="E89" s="20"/>
      <c r="F89" s="20"/>
      <c r="H89" s="20"/>
      <c r="I89" s="20"/>
      <c r="J89" s="20"/>
      <c r="K89" s="20"/>
      <c r="M89" s="33" t="s">
        <v>5</v>
      </c>
      <c r="N89" s="34">
        <v>0.86</v>
      </c>
      <c r="O89" s="34">
        <v>1.1299999999999999</v>
      </c>
      <c r="P89" s="34">
        <v>1.1200000000000001</v>
      </c>
      <c r="Q89" s="34">
        <v>1.08</v>
      </c>
    </row>
    <row r="90" spans="2:17" ht="16.5" thickBot="1">
      <c r="B90" s="20"/>
      <c r="C90" s="20"/>
      <c r="D90" s="20"/>
      <c r="E90" s="20"/>
      <c r="F90" s="20"/>
      <c r="H90" s="20"/>
      <c r="I90" s="20"/>
      <c r="J90" s="20"/>
      <c r="K90" s="20"/>
      <c r="M90" s="33" t="s">
        <v>6</v>
      </c>
      <c r="N90" s="34">
        <v>0.85</v>
      </c>
      <c r="O90" s="34">
        <v>1.33</v>
      </c>
      <c r="P90" s="34">
        <v>0.93</v>
      </c>
      <c r="Q90" s="34">
        <v>1.1100000000000001</v>
      </c>
    </row>
    <row r="91" spans="2:17" ht="32.25" thickBot="1">
      <c r="B91" s="20"/>
      <c r="C91" s="20"/>
      <c r="D91" s="20"/>
      <c r="E91" s="20"/>
      <c r="F91" s="20"/>
      <c r="H91" s="20"/>
      <c r="I91" s="20"/>
      <c r="J91" s="20"/>
      <c r="K91" s="20"/>
      <c r="M91" s="33" t="s">
        <v>7</v>
      </c>
      <c r="N91" s="34">
        <v>0.89</v>
      </c>
      <c r="O91" s="34">
        <v>0.91</v>
      </c>
      <c r="P91" s="34">
        <v>1.1200000000000001</v>
      </c>
      <c r="Q91" s="34">
        <v>1.1299999999999999</v>
      </c>
    </row>
    <row r="92" spans="2:17" ht="16.5" thickBot="1">
      <c r="B92" s="20"/>
      <c r="C92" s="20"/>
      <c r="D92" s="20"/>
      <c r="E92" s="20"/>
      <c r="F92" s="20"/>
      <c r="H92" s="20"/>
      <c r="I92" s="20"/>
      <c r="J92" s="20"/>
      <c r="K92" s="20"/>
      <c r="M92" s="33" t="s">
        <v>8</v>
      </c>
      <c r="N92" s="34">
        <v>0.69</v>
      </c>
      <c r="O92" s="34">
        <v>1.1100000000000001</v>
      </c>
      <c r="P92" s="34">
        <v>0.97</v>
      </c>
      <c r="Q92" s="34">
        <v>0.87</v>
      </c>
    </row>
    <row r="93" spans="2:17" ht="16.5" thickBot="1">
      <c r="B93" s="20"/>
      <c r="C93" s="20"/>
      <c r="D93" s="20"/>
      <c r="E93" s="20"/>
      <c r="F93" s="20"/>
      <c r="H93" s="20"/>
      <c r="I93" s="20"/>
      <c r="J93" s="20"/>
      <c r="K93" s="20"/>
      <c r="M93" s="33" t="s">
        <v>9</v>
      </c>
      <c r="N93" s="34">
        <v>0.8</v>
      </c>
      <c r="O93" s="34">
        <v>1.17</v>
      </c>
      <c r="P93" s="34">
        <v>1.0900000000000001</v>
      </c>
      <c r="Q93" s="34">
        <v>1.1100000000000001</v>
      </c>
    </row>
    <row r="94" spans="2:17" ht="16.5" thickBot="1">
      <c r="B94" s="20"/>
      <c r="C94" s="20"/>
      <c r="D94" s="20"/>
      <c r="E94" s="20"/>
      <c r="F94" s="20"/>
      <c r="H94" s="20"/>
      <c r="I94" s="20"/>
      <c r="J94" s="20"/>
      <c r="K94" s="20"/>
      <c r="M94" s="33" t="s">
        <v>10</v>
      </c>
      <c r="N94" s="34">
        <v>0.82</v>
      </c>
      <c r="O94" s="34">
        <v>1.08</v>
      </c>
      <c r="P94" s="34">
        <v>1.02</v>
      </c>
      <c r="Q94" s="34">
        <v>1.1499999999999999</v>
      </c>
    </row>
    <row r="95" spans="2:17" ht="32.25" thickBot="1">
      <c r="B95" s="20"/>
      <c r="C95" s="20"/>
      <c r="D95" s="20"/>
      <c r="E95" s="20"/>
      <c r="F95" s="20"/>
      <c r="H95" s="20"/>
      <c r="I95" s="20"/>
      <c r="J95" s="20"/>
      <c r="K95" s="20"/>
      <c r="M95" s="33" t="s">
        <v>11</v>
      </c>
      <c r="N95" s="34">
        <v>0.87</v>
      </c>
      <c r="O95" s="34">
        <v>1.27</v>
      </c>
      <c r="P95" s="34">
        <v>1.08</v>
      </c>
      <c r="Q95" s="34">
        <v>1.08</v>
      </c>
    </row>
    <row r="96" spans="2:17" ht="16.5" thickBot="1">
      <c r="B96" s="20"/>
      <c r="C96" s="20"/>
      <c r="D96" s="20"/>
      <c r="E96" s="20"/>
      <c r="F96" s="20"/>
      <c r="H96" s="20"/>
      <c r="I96" s="20"/>
      <c r="J96" s="20"/>
      <c r="K96" s="20"/>
      <c r="M96" s="33" t="s">
        <v>12</v>
      </c>
      <c r="N96" s="34">
        <v>0.86</v>
      </c>
      <c r="O96" s="34">
        <v>1.1299999999999999</v>
      </c>
      <c r="P96" s="34">
        <v>1.03</v>
      </c>
      <c r="Q96" s="34">
        <v>1.07</v>
      </c>
    </row>
    <row r="97" spans="2:17" ht="16.5" thickBot="1">
      <c r="B97" s="20"/>
      <c r="C97" s="20"/>
      <c r="D97" s="20"/>
      <c r="E97" s="20"/>
      <c r="F97" s="20"/>
      <c r="H97" s="20"/>
      <c r="I97" s="20"/>
      <c r="J97" s="20"/>
      <c r="K97" s="20"/>
      <c r="M97" s="33" t="s">
        <v>13</v>
      </c>
      <c r="N97" s="34">
        <v>0.79</v>
      </c>
      <c r="O97" s="34">
        <v>1</v>
      </c>
      <c r="P97" s="34">
        <v>1.33</v>
      </c>
      <c r="Q97" s="34">
        <v>1.1100000000000001</v>
      </c>
    </row>
    <row r="98" spans="2:17" ht="16.5" thickBot="1">
      <c r="B98" s="20"/>
      <c r="C98" s="20"/>
      <c r="D98" s="20"/>
      <c r="E98" s="20"/>
      <c r="F98" s="20"/>
      <c r="H98" s="20"/>
      <c r="I98" s="20"/>
      <c r="J98" s="20"/>
      <c r="K98" s="20"/>
      <c r="M98" s="33" t="s">
        <v>14</v>
      </c>
      <c r="N98" s="34">
        <v>0.88</v>
      </c>
      <c r="O98" s="34">
        <v>0.96</v>
      </c>
      <c r="P98" s="34">
        <v>1.1000000000000001</v>
      </c>
      <c r="Q98" s="34">
        <v>1.0900000000000001</v>
      </c>
    </row>
    <row r="99" spans="2:17" ht="16.5" thickBot="1">
      <c r="M99" s="33" t="s">
        <v>15</v>
      </c>
      <c r="N99" s="34">
        <v>0.84</v>
      </c>
      <c r="O99" s="34">
        <v>1.1200000000000001</v>
      </c>
      <c r="P99" s="34">
        <v>1.24</v>
      </c>
      <c r="Q99" s="34">
        <v>1.08</v>
      </c>
    </row>
    <row r="100" spans="2:17" ht="16.5" thickBot="1">
      <c r="M100" s="33" t="s">
        <v>16</v>
      </c>
      <c r="N100" s="34">
        <v>0</v>
      </c>
      <c r="O100" s="34">
        <v>0.86</v>
      </c>
      <c r="P100" s="34">
        <v>0.98</v>
      </c>
      <c r="Q100" s="34">
        <v>1.08</v>
      </c>
    </row>
    <row r="101" spans="2:17">
      <c r="N101">
        <f>1*13-(SUM(N87:N100))</f>
        <v>2.1199999999999992</v>
      </c>
      <c r="O101">
        <f t="shared" ref="O101:Q101" si="79">1*14-(SUM(O87:O100))</f>
        <v>-1.0800000000000018</v>
      </c>
      <c r="P101">
        <f t="shared" si="79"/>
        <v>-1.0499999999999989</v>
      </c>
      <c r="Q101">
        <f t="shared" si="79"/>
        <v>-1.2000000000000011</v>
      </c>
    </row>
    <row r="102" spans="2:17">
      <c r="N102">
        <f>SUM(N87:N99)/13</f>
        <v>0.83692307692307699</v>
      </c>
      <c r="O102">
        <f>SUM(O87:O100)/14</f>
        <v>1.0771428571428572</v>
      </c>
      <c r="P102">
        <f>SUM(P87:P100)/14</f>
        <v>1.075</v>
      </c>
      <c r="Q102">
        <f>SUM(Q87:Q100)/14</f>
        <v>1.0857142857142859</v>
      </c>
    </row>
  </sheetData>
  <sortState ref="AQ24:AZ37">
    <sortCondition ref="AQ24"/>
  </sortState>
  <conditionalFormatting sqref="AC4:AC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4:AC3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44:AC5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64:AC7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"/>
  <sheetViews>
    <sheetView tabSelected="1" workbookViewId="0">
      <selection activeCell="E15" sqref="A1:E15"/>
    </sheetView>
  </sheetViews>
  <sheetFormatPr defaultRowHeight="15"/>
  <cols>
    <col min="1" max="1" width="14.7109375" customWidth="1"/>
  </cols>
  <sheetData>
    <row r="1" spans="1:5">
      <c r="A1" t="s">
        <v>1</v>
      </c>
      <c r="B1" s="18" t="s">
        <v>82</v>
      </c>
      <c r="C1" s="18" t="s">
        <v>45</v>
      </c>
      <c r="D1" s="18" t="s">
        <v>46</v>
      </c>
      <c r="E1" s="19" t="s">
        <v>83</v>
      </c>
    </row>
    <row r="2" spans="1:5">
      <c r="A2" s="7" t="s">
        <v>3</v>
      </c>
      <c r="B2">
        <v>23.5</v>
      </c>
      <c r="C2">
        <v>20.5</v>
      </c>
      <c r="D2">
        <v>8</v>
      </c>
      <c r="E2" s="20">
        <v>48</v>
      </c>
    </row>
    <row r="3" spans="1:5">
      <c r="A3" s="7" t="s">
        <v>4</v>
      </c>
      <c r="B3">
        <v>31</v>
      </c>
      <c r="C3">
        <v>28.8</v>
      </c>
      <c r="D3">
        <v>5.9</v>
      </c>
      <c r="E3" s="20">
        <v>34.299999999999997</v>
      </c>
    </row>
    <row r="4" spans="1:5">
      <c r="A4" s="7" t="s">
        <v>5</v>
      </c>
      <c r="B4">
        <v>35</v>
      </c>
      <c r="C4">
        <v>19.899999999999999</v>
      </c>
      <c r="D4">
        <v>9.9</v>
      </c>
      <c r="E4" s="20">
        <v>35.200000000000003</v>
      </c>
    </row>
    <row r="5" spans="1:5">
      <c r="A5" s="7" t="s">
        <v>6</v>
      </c>
      <c r="B5">
        <v>40.5</v>
      </c>
      <c r="C5">
        <v>17.3</v>
      </c>
      <c r="D5">
        <v>6.2</v>
      </c>
      <c r="E5" s="20">
        <v>36</v>
      </c>
    </row>
    <row r="6" spans="1:5">
      <c r="A6" s="7" t="s">
        <v>7</v>
      </c>
      <c r="B6">
        <v>32.700000000000003</v>
      </c>
      <c r="C6">
        <v>17.7</v>
      </c>
      <c r="D6">
        <v>8</v>
      </c>
      <c r="E6" s="20">
        <v>41.6</v>
      </c>
    </row>
    <row r="7" spans="1:5">
      <c r="A7" s="7" t="s">
        <v>8</v>
      </c>
      <c r="B7">
        <v>10.7</v>
      </c>
      <c r="C7">
        <v>72.099999999999994</v>
      </c>
      <c r="D7">
        <v>4.2</v>
      </c>
      <c r="E7" s="20">
        <v>13</v>
      </c>
    </row>
    <row r="8" spans="1:5">
      <c r="A8" s="7" t="s">
        <v>9</v>
      </c>
      <c r="B8">
        <v>29.8</v>
      </c>
      <c r="C8">
        <v>16.7</v>
      </c>
      <c r="D8">
        <v>8</v>
      </c>
      <c r="E8" s="20">
        <v>45.5</v>
      </c>
    </row>
    <row r="9" spans="1:5">
      <c r="A9" s="7" t="s">
        <v>10</v>
      </c>
      <c r="B9">
        <v>32.5</v>
      </c>
      <c r="C9">
        <v>16.7</v>
      </c>
      <c r="D9">
        <v>5.9</v>
      </c>
      <c r="E9" s="20">
        <v>44.9</v>
      </c>
    </row>
    <row r="10" spans="1:5">
      <c r="A10" s="7" t="s">
        <v>11</v>
      </c>
      <c r="B10">
        <v>39.1</v>
      </c>
      <c r="C10">
        <v>9.6</v>
      </c>
      <c r="D10">
        <v>9.4</v>
      </c>
      <c r="E10" s="20">
        <v>41.9</v>
      </c>
    </row>
    <row r="11" spans="1:5">
      <c r="A11" s="7" t="s">
        <v>12</v>
      </c>
      <c r="B11">
        <v>32.6</v>
      </c>
      <c r="C11">
        <v>27.3</v>
      </c>
      <c r="D11">
        <v>7.6</v>
      </c>
      <c r="E11" s="20">
        <v>32.5</v>
      </c>
    </row>
    <row r="12" spans="1:5">
      <c r="A12" s="7" t="s">
        <v>13</v>
      </c>
      <c r="B12">
        <v>17.7</v>
      </c>
      <c r="C12">
        <v>44.5</v>
      </c>
      <c r="D12">
        <v>7.2</v>
      </c>
      <c r="E12" s="20">
        <v>30.6</v>
      </c>
    </row>
    <row r="13" spans="1:5">
      <c r="A13" s="7" t="s">
        <v>14</v>
      </c>
      <c r="B13">
        <v>28.2</v>
      </c>
      <c r="C13">
        <v>19.8</v>
      </c>
      <c r="D13">
        <v>7.3</v>
      </c>
      <c r="E13" s="20">
        <v>44.7</v>
      </c>
    </row>
    <row r="14" spans="1:5">
      <c r="A14" s="7" t="s">
        <v>15</v>
      </c>
      <c r="B14">
        <v>34.799999999999997</v>
      </c>
      <c r="C14">
        <v>16</v>
      </c>
      <c r="D14">
        <v>8.9</v>
      </c>
      <c r="E14" s="20">
        <v>40.299999999999997</v>
      </c>
    </row>
    <row r="15" spans="1:5">
      <c r="A15" s="7" t="s">
        <v>16</v>
      </c>
      <c r="B15">
        <v>0</v>
      </c>
      <c r="C15" s="21">
        <v>27.8</v>
      </c>
      <c r="D15" s="21">
        <v>9.1999999999999993</v>
      </c>
      <c r="E15" s="21">
        <v>63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"/>
  <sheetViews>
    <sheetView workbookViewId="0">
      <selection activeCell="C6" sqref="C6"/>
    </sheetView>
  </sheetViews>
  <sheetFormatPr defaultColWidth="8.85546875" defaultRowHeight="15"/>
  <sheetData>
    <row r="1" spans="1:3" ht="18.75">
      <c r="A1" s="1" t="s">
        <v>17</v>
      </c>
    </row>
    <row r="2" spans="1:3">
      <c r="A2" t="s">
        <v>18</v>
      </c>
      <c r="B2" t="s">
        <v>19</v>
      </c>
      <c r="C2" t="s">
        <v>20</v>
      </c>
    </row>
    <row r="3" spans="1:3">
      <c r="A3" t="s">
        <v>18</v>
      </c>
      <c r="B3" t="s">
        <v>21</v>
      </c>
      <c r="C3" s="2" t="s">
        <v>22</v>
      </c>
    </row>
    <row r="5" spans="1:3">
      <c r="C5" t="s">
        <v>84</v>
      </c>
    </row>
  </sheetData>
  <hyperlinks>
    <hyperlink ref="C3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Q51"/>
  <sheetViews>
    <sheetView zoomScale="85" zoomScaleNormal="85" workbookViewId="0">
      <selection activeCell="Q3" sqref="Q3:Q17"/>
    </sheetView>
  </sheetViews>
  <sheetFormatPr defaultRowHeight="15"/>
  <cols>
    <col min="3" max="3" width="16.85546875" customWidth="1"/>
  </cols>
  <sheetData>
    <row r="3" spans="2:14">
      <c r="C3" s="18" t="s">
        <v>80</v>
      </c>
      <c r="D3" s="24">
        <v>2017</v>
      </c>
      <c r="E3" s="24">
        <v>2018</v>
      </c>
      <c r="F3" s="24">
        <v>2019</v>
      </c>
      <c r="G3" s="24">
        <v>2020</v>
      </c>
      <c r="H3" s="24">
        <v>2021</v>
      </c>
      <c r="I3" s="24">
        <v>2022</v>
      </c>
      <c r="J3" s="24">
        <v>2023</v>
      </c>
      <c r="K3" s="24">
        <v>2024</v>
      </c>
    </row>
    <row r="4" spans="2:14">
      <c r="B4">
        <v>1</v>
      </c>
      <c r="C4" s="7" t="s">
        <v>3</v>
      </c>
      <c r="D4" s="15">
        <v>1817.5</v>
      </c>
      <c r="E4" s="15">
        <v>1842.3</v>
      </c>
      <c r="F4" s="15">
        <v>1869.8</v>
      </c>
      <c r="G4" s="15">
        <v>1898.3</v>
      </c>
      <c r="H4" s="15">
        <v>1923.7</v>
      </c>
      <c r="I4" s="15">
        <v>1948.5</v>
      </c>
      <c r="J4" s="15">
        <v>1976.2</v>
      </c>
      <c r="K4" s="15">
        <v>2002.7</v>
      </c>
      <c r="L4" s="7">
        <f>K4/AVERAGE(D4:K4)</f>
        <v>1.048602657241966</v>
      </c>
      <c r="M4">
        <f>L4/$L$18</f>
        <v>0.97908737497017406</v>
      </c>
    </row>
    <row r="5" spans="2:14">
      <c r="B5">
        <v>2</v>
      </c>
      <c r="C5" s="7" t="s">
        <v>4</v>
      </c>
      <c r="D5" s="15">
        <v>2962.5</v>
      </c>
      <c r="E5" s="15">
        <v>3011.7</v>
      </c>
      <c r="F5" s="15">
        <v>3066.9</v>
      </c>
      <c r="G5" s="15">
        <v>3127.7</v>
      </c>
      <c r="H5" s="15">
        <v>3188.1</v>
      </c>
      <c r="I5" s="15">
        <v>3253.5</v>
      </c>
      <c r="J5" s="15">
        <v>3322.7</v>
      </c>
      <c r="K5" s="15">
        <v>3394.4</v>
      </c>
      <c r="L5" s="7">
        <f t="shared" ref="L5:L17" si="0">K5/AVERAGE(D5:K5)</f>
        <v>1.0721626690356332</v>
      </c>
      <c r="M5">
        <f t="shared" ref="M5:M17" si="1">L5/$L$18</f>
        <v>1.0010855169184307</v>
      </c>
      <c r="N5" t="s">
        <v>111</v>
      </c>
    </row>
    <row r="6" spans="2:14">
      <c r="B6">
        <v>3</v>
      </c>
      <c r="C6" s="7" t="s">
        <v>5</v>
      </c>
      <c r="D6" s="15">
        <v>1843.5</v>
      </c>
      <c r="E6" s="15">
        <v>1870.2</v>
      </c>
      <c r="F6" s="15">
        <v>1894.8</v>
      </c>
      <c r="G6" s="15">
        <v>1923.9</v>
      </c>
      <c r="H6" s="15">
        <v>1947.1</v>
      </c>
      <c r="I6" s="15">
        <v>1976.8</v>
      </c>
      <c r="J6" s="15">
        <v>2009.7</v>
      </c>
      <c r="K6" s="15">
        <v>2044</v>
      </c>
      <c r="L6" s="7">
        <f t="shared" si="0"/>
        <v>1.0542875564152161</v>
      </c>
      <c r="M6">
        <f t="shared" si="1"/>
        <v>0.98439540367872924</v>
      </c>
    </row>
    <row r="7" spans="2:14">
      <c r="B7">
        <v>4</v>
      </c>
      <c r="C7" s="7" t="s">
        <v>6</v>
      </c>
      <c r="D7" s="15">
        <v>1301</v>
      </c>
      <c r="E7" s="15">
        <v>1325</v>
      </c>
      <c r="F7" s="15">
        <v>1352.4</v>
      </c>
      <c r="G7" s="15">
        <v>1382.1</v>
      </c>
      <c r="H7" s="15">
        <v>1410.5</v>
      </c>
      <c r="I7" s="15">
        <v>1443.4</v>
      </c>
      <c r="J7" s="15">
        <v>1475.5</v>
      </c>
      <c r="K7" s="15">
        <v>1507.4</v>
      </c>
      <c r="L7" s="7">
        <f t="shared" si="0"/>
        <v>1.0769739133541123</v>
      </c>
      <c r="M7">
        <f t="shared" si="1"/>
        <v>1.0055778081953857</v>
      </c>
      <c r="N7" t="s">
        <v>111</v>
      </c>
    </row>
    <row r="8" spans="2:14">
      <c r="B8">
        <v>5</v>
      </c>
      <c r="C8" s="7" t="s">
        <v>7</v>
      </c>
      <c r="D8" s="15">
        <v>3088.8</v>
      </c>
      <c r="E8" s="15">
        <v>3148.4</v>
      </c>
      <c r="F8" s="15">
        <v>3213.1</v>
      </c>
      <c r="G8" s="15">
        <v>3280.4</v>
      </c>
      <c r="H8" s="15">
        <v>3335.4</v>
      </c>
      <c r="I8" s="15">
        <v>3408.3</v>
      </c>
      <c r="J8" s="15">
        <v>3482.3</v>
      </c>
      <c r="K8" s="15">
        <v>3560.6</v>
      </c>
      <c r="L8" s="7">
        <f t="shared" si="0"/>
        <v>1.074196845078496</v>
      </c>
      <c r="M8">
        <f t="shared" si="1"/>
        <v>1.0029848408122612</v>
      </c>
      <c r="N8" t="s">
        <v>111</v>
      </c>
    </row>
    <row r="9" spans="2:14">
      <c r="B9">
        <v>6</v>
      </c>
      <c r="C9" s="7" t="s">
        <v>8</v>
      </c>
      <c r="D9" s="15">
        <v>942.8</v>
      </c>
      <c r="E9" s="15">
        <v>958</v>
      </c>
      <c r="F9" s="15">
        <v>979.5</v>
      </c>
      <c r="G9" s="15">
        <v>997.1</v>
      </c>
      <c r="H9" s="15">
        <v>1013.6</v>
      </c>
      <c r="I9" s="15">
        <v>1033.9000000000001</v>
      </c>
      <c r="J9" s="15">
        <v>1055.5</v>
      </c>
      <c r="K9" s="15">
        <v>1075.3</v>
      </c>
      <c r="L9" s="7">
        <f t="shared" si="0"/>
        <v>1.0678649900070758</v>
      </c>
      <c r="M9">
        <f t="shared" si="1"/>
        <v>0.99707274501720178</v>
      </c>
    </row>
    <row r="10" spans="2:14">
      <c r="B10">
        <v>7</v>
      </c>
      <c r="C10" s="7" t="s">
        <v>9</v>
      </c>
      <c r="D10" s="15">
        <v>2652.4</v>
      </c>
      <c r="E10" s="15">
        <v>2699.6</v>
      </c>
      <c r="F10" s="15">
        <v>2752.9</v>
      </c>
      <c r="G10" s="15">
        <v>2810.8</v>
      </c>
      <c r="H10" s="15">
        <v>2867.5</v>
      </c>
      <c r="I10" s="15">
        <v>2931.1</v>
      </c>
      <c r="J10" s="15">
        <v>2997.5</v>
      </c>
      <c r="K10" s="15">
        <v>3066.1</v>
      </c>
      <c r="L10" s="7">
        <f t="shared" si="0"/>
        <v>1.0768683680233913</v>
      </c>
      <c r="M10">
        <f t="shared" si="1"/>
        <v>1.0054792598080797</v>
      </c>
      <c r="N10" t="s">
        <v>111</v>
      </c>
    </row>
    <row r="11" spans="2:14">
      <c r="B11">
        <v>8</v>
      </c>
      <c r="C11" s="7" t="s">
        <v>10</v>
      </c>
      <c r="D11" s="15">
        <v>3651.7</v>
      </c>
      <c r="E11" s="15">
        <v>3720.1</v>
      </c>
      <c r="F11" s="15">
        <v>3798.9</v>
      </c>
      <c r="G11" s="15">
        <v>3877.4</v>
      </c>
      <c r="H11" s="15">
        <v>3947.7</v>
      </c>
      <c r="I11" s="15">
        <v>4031.3</v>
      </c>
      <c r="J11" s="15">
        <v>4118.2</v>
      </c>
      <c r="K11" s="15">
        <v>4208.5</v>
      </c>
      <c r="L11" s="7">
        <f t="shared" si="0"/>
        <v>1.0738092352442128</v>
      </c>
      <c r="M11">
        <f t="shared" si="1"/>
        <v>1.0026229268951641</v>
      </c>
      <c r="N11" t="s">
        <v>111</v>
      </c>
    </row>
    <row r="12" spans="2:14">
      <c r="B12">
        <v>9</v>
      </c>
      <c r="C12" s="7" t="s">
        <v>11</v>
      </c>
      <c r="D12" s="15">
        <v>2462.3000000000002</v>
      </c>
      <c r="E12" s="15">
        <v>2514.1999999999998</v>
      </c>
      <c r="F12" s="15">
        <v>2569.9</v>
      </c>
      <c r="G12" s="15">
        <v>2629.1</v>
      </c>
      <c r="H12" s="15">
        <v>2680.8</v>
      </c>
      <c r="I12" s="15">
        <v>2743.2</v>
      </c>
      <c r="J12" s="15">
        <v>2806.5</v>
      </c>
      <c r="K12" s="15">
        <v>2877.1</v>
      </c>
      <c r="L12" s="7">
        <f t="shared" si="0"/>
        <v>1.0814589979843163</v>
      </c>
      <c r="M12">
        <f t="shared" si="1"/>
        <v>1.0097655619711157</v>
      </c>
      <c r="N12" t="s">
        <v>111</v>
      </c>
    </row>
    <row r="13" spans="2:14">
      <c r="B13">
        <v>10</v>
      </c>
      <c r="C13" s="7" t="s">
        <v>12</v>
      </c>
      <c r="D13" s="15">
        <v>803.1</v>
      </c>
      <c r="E13" s="15">
        <v>815.9</v>
      </c>
      <c r="F13" s="15">
        <v>829.9</v>
      </c>
      <c r="G13" s="15">
        <v>846.3</v>
      </c>
      <c r="H13" s="15">
        <v>860.9</v>
      </c>
      <c r="I13" s="15">
        <v>878.6</v>
      </c>
      <c r="J13" s="15">
        <v>896.6</v>
      </c>
      <c r="K13" s="15">
        <v>914</v>
      </c>
      <c r="L13" s="7">
        <f t="shared" si="0"/>
        <v>1.0681781660409331</v>
      </c>
      <c r="M13">
        <f t="shared" si="1"/>
        <v>0.99736515959270877</v>
      </c>
    </row>
    <row r="14" spans="2:14">
      <c r="B14">
        <v>11</v>
      </c>
      <c r="C14" s="7" t="s">
        <v>13</v>
      </c>
      <c r="D14" s="15">
        <v>2829.3</v>
      </c>
      <c r="E14" s="15">
        <v>2861.2</v>
      </c>
      <c r="F14" s="15">
        <v>2898.5</v>
      </c>
      <c r="G14" s="15">
        <v>2941.9</v>
      </c>
      <c r="H14" s="15">
        <v>2975.9</v>
      </c>
      <c r="I14" s="15">
        <v>2941.5</v>
      </c>
      <c r="J14" s="15">
        <v>2993.4</v>
      </c>
      <c r="K14" s="15">
        <v>3051.8</v>
      </c>
      <c r="L14" s="7">
        <f t="shared" si="0"/>
        <v>1.0391980760635922</v>
      </c>
      <c r="M14">
        <f t="shared" si="1"/>
        <v>0.97030625408035431</v>
      </c>
    </row>
    <row r="15" spans="2:14">
      <c r="B15">
        <v>12</v>
      </c>
      <c r="C15" s="7" t="s">
        <v>14</v>
      </c>
      <c r="D15" s="15">
        <v>3564.8</v>
      </c>
      <c r="E15" s="15">
        <v>3620.2</v>
      </c>
      <c r="F15" s="15">
        <v>3683.3</v>
      </c>
      <c r="G15" s="15">
        <v>3752</v>
      </c>
      <c r="H15" s="15">
        <v>3820</v>
      </c>
      <c r="I15" s="15">
        <v>3896.4</v>
      </c>
      <c r="J15" s="15">
        <v>3976.3</v>
      </c>
      <c r="K15" s="15">
        <v>4061.5</v>
      </c>
      <c r="L15" s="7">
        <f t="shared" si="0"/>
        <v>1.0697130816968181</v>
      </c>
      <c r="M15">
        <f t="shared" si="1"/>
        <v>0.99879832069519325</v>
      </c>
    </row>
    <row r="16" spans="2:14">
      <c r="B16">
        <v>13</v>
      </c>
      <c r="C16" s="7" t="s">
        <v>15</v>
      </c>
      <c r="D16" s="15">
        <v>1776.7</v>
      </c>
      <c r="E16" s="15">
        <v>1805</v>
      </c>
      <c r="F16" s="15">
        <v>1835.7</v>
      </c>
      <c r="G16" s="15">
        <v>1866.5</v>
      </c>
      <c r="H16" s="15">
        <v>1893.3</v>
      </c>
      <c r="I16" s="15">
        <v>1924.2</v>
      </c>
      <c r="J16" s="15">
        <v>1958.1</v>
      </c>
      <c r="K16" s="15">
        <v>1995.6</v>
      </c>
      <c r="L16" s="7">
        <f t="shared" si="0"/>
        <v>1.0604247065778374</v>
      </c>
      <c r="M16">
        <f t="shared" si="1"/>
        <v>0.99012570218695828</v>
      </c>
    </row>
    <row r="17" spans="2:15">
      <c r="B17">
        <v>14</v>
      </c>
      <c r="C17" s="7" t="s">
        <v>16</v>
      </c>
      <c r="D17" s="15">
        <v>2424.1</v>
      </c>
      <c r="E17" s="15">
        <v>2464.9</v>
      </c>
      <c r="F17" s="15">
        <v>2509.9</v>
      </c>
      <c r="G17" s="15">
        <v>2571.6999999999998</v>
      </c>
      <c r="H17" s="15">
        <v>2694.4</v>
      </c>
      <c r="I17" s="15">
        <v>2860.6</v>
      </c>
      <c r="J17" s="15">
        <v>2956.4</v>
      </c>
      <c r="K17" s="15">
        <v>3040.8</v>
      </c>
      <c r="L17" s="7">
        <f t="shared" si="0"/>
        <v>1.1302618618395377</v>
      </c>
      <c r="M17">
        <f t="shared" si="1"/>
        <v>1.0553331251782436</v>
      </c>
      <c r="N17" t="s">
        <v>111</v>
      </c>
    </row>
    <row r="18" spans="2:15">
      <c r="C18" s="7" t="s">
        <v>48</v>
      </c>
      <c r="D18" s="15">
        <f t="shared" ref="D18:K18" si="2">SUM(D4:D17)</f>
        <v>32120.499999999993</v>
      </c>
      <c r="E18" s="15">
        <f t="shared" si="2"/>
        <v>32656.700000000004</v>
      </c>
      <c r="F18" s="15">
        <f t="shared" si="2"/>
        <v>33255.5</v>
      </c>
      <c r="G18" s="15">
        <f t="shared" si="2"/>
        <v>33905.199999999997</v>
      </c>
      <c r="H18" s="15">
        <f t="shared" si="2"/>
        <v>34558.9</v>
      </c>
      <c r="I18" s="15">
        <f t="shared" si="2"/>
        <v>35271.300000000003</v>
      </c>
      <c r="J18" s="15">
        <f t="shared" si="2"/>
        <v>36024.9</v>
      </c>
      <c r="K18" s="15">
        <f t="shared" si="2"/>
        <v>36799.800000000003</v>
      </c>
      <c r="L18" s="7">
        <f>AVERAGE(L4:L17)</f>
        <v>1.0710000803287956</v>
      </c>
    </row>
    <row r="19" spans="2:15">
      <c r="D19" s="15"/>
      <c r="E19" s="15"/>
      <c r="F19" s="15"/>
      <c r="G19" s="15"/>
      <c r="H19" s="15"/>
      <c r="I19" s="15"/>
      <c r="J19" s="15"/>
      <c r="K19" s="15"/>
      <c r="L19" s="7"/>
    </row>
    <row r="20" spans="2:15">
      <c r="D20" s="15"/>
      <c r="E20" s="15"/>
      <c r="F20" s="15"/>
      <c r="G20" s="15"/>
      <c r="H20" s="15"/>
      <c r="I20" s="15"/>
      <c r="J20" s="15"/>
      <c r="K20" s="15"/>
      <c r="L20" s="7"/>
    </row>
    <row r="21" spans="2:15">
      <c r="L21" s="7"/>
    </row>
    <row r="22" spans="2:15">
      <c r="C22" s="18" t="s">
        <v>79</v>
      </c>
      <c r="D22" s="24">
        <v>2017</v>
      </c>
      <c r="E22" s="24">
        <v>2018</v>
      </c>
      <c r="F22" s="24">
        <v>2019</v>
      </c>
      <c r="G22" s="24">
        <v>2020</v>
      </c>
      <c r="H22" s="24">
        <v>2021</v>
      </c>
      <c r="I22" s="24">
        <v>2022</v>
      </c>
      <c r="J22" s="24">
        <v>2023</v>
      </c>
      <c r="K22" s="24">
        <v>2024</v>
      </c>
      <c r="L22" s="7"/>
    </row>
    <row r="23" spans="2:15">
      <c r="B23">
        <v>1</v>
      </c>
      <c r="C23" t="s">
        <v>28</v>
      </c>
      <c r="D23" s="25">
        <v>307.39999999999998</v>
      </c>
      <c r="E23" s="25">
        <v>310.89999999999998</v>
      </c>
      <c r="F23" s="25">
        <v>314.89999999999998</v>
      </c>
      <c r="G23" s="25">
        <v>319.60000000000002</v>
      </c>
      <c r="H23" s="25">
        <v>323.8</v>
      </c>
      <c r="I23" s="25">
        <v>329</v>
      </c>
      <c r="J23" s="25">
        <v>334.6</v>
      </c>
      <c r="K23" s="25">
        <v>339.2</v>
      </c>
      <c r="L23" s="7">
        <f>K23/AVERAGE(D23:K23)</f>
        <v>1.0520276033186013</v>
      </c>
      <c r="M23" s="7">
        <f>L23/L4</f>
        <v>1.0032662000739572</v>
      </c>
      <c r="N23" s="7">
        <f>L23/$L$37</f>
        <v>0.95910326123969891</v>
      </c>
    </row>
    <row r="24" spans="2:15">
      <c r="B24">
        <v>2</v>
      </c>
      <c r="C24" t="s">
        <v>29</v>
      </c>
      <c r="D24" s="25">
        <v>421.9</v>
      </c>
      <c r="E24" s="25">
        <v>427.5</v>
      </c>
      <c r="F24" s="25">
        <v>433.9</v>
      </c>
      <c r="G24" s="25">
        <v>441.7</v>
      </c>
      <c r="H24" s="25">
        <v>450</v>
      </c>
      <c r="I24" s="25">
        <v>458.5</v>
      </c>
      <c r="J24" s="25">
        <v>468.1</v>
      </c>
      <c r="K24" s="25">
        <v>480.8</v>
      </c>
      <c r="L24" s="7">
        <f t="shared" ref="L24:L36" si="3">K24/AVERAGE(D24:K24)</f>
        <v>1.0736936132201875</v>
      </c>
      <c r="M24" s="7">
        <f t="shared" ref="M24:M36" si="4">L24/L5</f>
        <v>1.0014279029001554</v>
      </c>
      <c r="N24" s="7">
        <f t="shared" ref="N24:N36" si="5">L24/$L$37</f>
        <v>0.97885553835591999</v>
      </c>
    </row>
    <row r="25" spans="2:15">
      <c r="B25">
        <v>3</v>
      </c>
      <c r="C25" t="s">
        <v>30</v>
      </c>
      <c r="D25" s="25">
        <v>276</v>
      </c>
      <c r="E25" s="25">
        <v>276.39999999999998</v>
      </c>
      <c r="F25" s="25">
        <v>277.8</v>
      </c>
      <c r="G25" s="25">
        <v>280.2</v>
      </c>
      <c r="H25" s="25">
        <v>281.2</v>
      </c>
      <c r="I25" s="25">
        <v>283.8</v>
      </c>
      <c r="J25" s="25">
        <v>289.2</v>
      </c>
      <c r="K25" s="25">
        <v>294.5</v>
      </c>
      <c r="L25" s="7">
        <f t="shared" si="3"/>
        <v>1.0428931875525651</v>
      </c>
      <c r="M25" s="7">
        <f t="shared" si="4"/>
        <v>0.98919235194106425</v>
      </c>
      <c r="N25" s="7">
        <f t="shared" si="5"/>
        <v>0.95077567751177317</v>
      </c>
    </row>
    <row r="26" spans="2:15">
      <c r="B26">
        <v>4</v>
      </c>
      <c r="C26" t="s">
        <v>31</v>
      </c>
      <c r="D26" s="25">
        <v>169.6</v>
      </c>
      <c r="E26" s="25">
        <v>171.7</v>
      </c>
      <c r="F26" s="25">
        <v>174.4</v>
      </c>
      <c r="G26" s="25">
        <v>177.4</v>
      </c>
      <c r="H26" s="25">
        <v>180.5</v>
      </c>
      <c r="I26" s="25">
        <v>185.1</v>
      </c>
      <c r="J26" s="25">
        <v>191.6</v>
      </c>
      <c r="K26" s="25">
        <v>195.8</v>
      </c>
      <c r="L26" s="7">
        <f t="shared" si="3"/>
        <v>1.0831892676854993</v>
      </c>
      <c r="M26" s="7">
        <f t="shared" si="4"/>
        <v>1.00577112802299</v>
      </c>
      <c r="N26" s="7">
        <f t="shared" si="5"/>
        <v>0.98751245300013368</v>
      </c>
    </row>
    <row r="27" spans="2:15">
      <c r="B27">
        <v>5</v>
      </c>
      <c r="C27" t="s">
        <v>32</v>
      </c>
      <c r="D27" s="25">
        <v>264.2</v>
      </c>
      <c r="E27" s="25">
        <v>267.60000000000002</v>
      </c>
      <c r="F27" s="25">
        <v>270.7</v>
      </c>
      <c r="G27" s="25">
        <v>274.89999999999998</v>
      </c>
      <c r="H27" s="25">
        <v>278.3</v>
      </c>
      <c r="I27" s="25">
        <v>283.2</v>
      </c>
      <c r="J27" s="25">
        <v>288.89999999999998</v>
      </c>
      <c r="K27" s="25">
        <v>295.60000000000002</v>
      </c>
      <c r="L27" s="7">
        <f t="shared" si="3"/>
        <v>1.063596293964199</v>
      </c>
      <c r="M27" s="7">
        <f t="shared" si="4"/>
        <v>0.99013164936867559</v>
      </c>
      <c r="N27" s="7">
        <f t="shared" si="5"/>
        <v>0.96965010325360146</v>
      </c>
    </row>
    <row r="28" spans="2:15">
      <c r="B28">
        <v>6</v>
      </c>
      <c r="C28" t="s">
        <v>33</v>
      </c>
      <c r="D28" s="25">
        <v>134.1</v>
      </c>
      <c r="E28" s="25">
        <v>135.6</v>
      </c>
      <c r="F28" s="25">
        <v>136.4</v>
      </c>
      <c r="G28" s="25">
        <v>144.19999999999999</v>
      </c>
      <c r="H28" s="25">
        <v>146.9</v>
      </c>
      <c r="I28" s="25">
        <v>150.6</v>
      </c>
      <c r="J28" s="25">
        <v>156</v>
      </c>
      <c r="K28" s="25">
        <v>161.30000000000001</v>
      </c>
      <c r="L28" s="7">
        <f t="shared" si="3"/>
        <v>1.1075444167882587</v>
      </c>
      <c r="M28" s="7">
        <f t="shared" si="4"/>
        <v>1.0371577185809977</v>
      </c>
      <c r="N28" s="7">
        <f t="shared" si="5"/>
        <v>1.0097163408627237</v>
      </c>
      <c r="O28" t="s">
        <v>111</v>
      </c>
    </row>
    <row r="29" spans="2:15">
      <c r="B29">
        <v>7</v>
      </c>
      <c r="C29" t="s">
        <v>34</v>
      </c>
      <c r="D29" s="25">
        <v>590.20000000000005</v>
      </c>
      <c r="E29" s="25">
        <v>600.20000000000005</v>
      </c>
      <c r="F29" s="25">
        <v>612.20000000000005</v>
      </c>
      <c r="G29" s="25">
        <v>626.1</v>
      </c>
      <c r="H29" s="25">
        <v>644.79999999999995</v>
      </c>
      <c r="I29" s="25">
        <v>661.1</v>
      </c>
      <c r="J29" s="25">
        <v>678.2</v>
      </c>
      <c r="K29" s="25">
        <v>696.5</v>
      </c>
      <c r="L29" s="7">
        <f t="shared" si="3"/>
        <v>1.0905603507329771</v>
      </c>
      <c r="M29" s="7">
        <f t="shared" si="4"/>
        <v>1.0127146298620673</v>
      </c>
      <c r="N29" s="7">
        <f t="shared" si="5"/>
        <v>0.99423245708310981</v>
      </c>
    </row>
    <row r="30" spans="2:15">
      <c r="B30">
        <v>8</v>
      </c>
      <c r="C30" t="s">
        <v>35</v>
      </c>
      <c r="D30" s="25">
        <v>523.79999999999995</v>
      </c>
      <c r="E30" s="25">
        <v>529.6</v>
      </c>
      <c r="F30" s="25">
        <v>538.20000000000005</v>
      </c>
      <c r="G30" s="25">
        <v>546.29999999999995</v>
      </c>
      <c r="H30" s="25">
        <v>551.70000000000005</v>
      </c>
      <c r="I30" s="25">
        <v>561.70000000000005</v>
      </c>
      <c r="J30" s="25">
        <v>572.79999999999995</v>
      </c>
      <c r="K30" s="25">
        <v>585.20000000000005</v>
      </c>
      <c r="L30" s="7">
        <f t="shared" si="3"/>
        <v>1.0617558342594062</v>
      </c>
      <c r="M30" s="7">
        <f t="shared" si="4"/>
        <v>0.98877510027927329</v>
      </c>
      <c r="N30" s="7">
        <f t="shared" si="5"/>
        <v>0.96797220915702198</v>
      </c>
    </row>
    <row r="31" spans="2:15">
      <c r="B31">
        <v>9</v>
      </c>
      <c r="C31" t="s">
        <v>36</v>
      </c>
      <c r="D31" s="25">
        <v>142.1</v>
      </c>
      <c r="E31" s="25">
        <v>143.80000000000001</v>
      </c>
      <c r="F31" s="25">
        <v>145.1</v>
      </c>
      <c r="G31" s="25">
        <v>179.6</v>
      </c>
      <c r="H31" s="25">
        <v>182.8</v>
      </c>
      <c r="I31" s="25">
        <v>189.5</v>
      </c>
      <c r="J31" s="25">
        <v>195.7</v>
      </c>
      <c r="K31" s="25">
        <v>201.6</v>
      </c>
      <c r="L31" s="7">
        <f t="shared" si="3"/>
        <v>1.1685263005361541</v>
      </c>
      <c r="M31" s="7">
        <f t="shared" si="4"/>
        <v>1.0805091110380687</v>
      </c>
      <c r="N31" s="7">
        <f t="shared" si="5"/>
        <v>1.0653117676316106</v>
      </c>
      <c r="O31" t="s">
        <v>111</v>
      </c>
    </row>
    <row r="32" spans="2:15">
      <c r="B32">
        <v>10</v>
      </c>
      <c r="C32" t="s">
        <v>37</v>
      </c>
      <c r="D32" s="25">
        <v>87.5</v>
      </c>
      <c r="E32" s="25">
        <v>88.2</v>
      </c>
      <c r="F32" s="25">
        <v>89</v>
      </c>
      <c r="G32" s="25">
        <v>90.4</v>
      </c>
      <c r="H32" s="25">
        <v>91.3</v>
      </c>
      <c r="I32" s="25">
        <v>93.4</v>
      </c>
      <c r="J32" s="25">
        <v>96.2</v>
      </c>
      <c r="K32" s="25">
        <v>99.3</v>
      </c>
      <c r="L32" s="7">
        <f t="shared" si="3"/>
        <v>1.0803753569971439</v>
      </c>
      <c r="M32" s="7">
        <f t="shared" si="4"/>
        <v>1.0114186858934013</v>
      </c>
      <c r="N32" s="7">
        <f t="shared" si="5"/>
        <v>0.98494709168306793</v>
      </c>
    </row>
    <row r="33" spans="2:17">
      <c r="B33">
        <v>11</v>
      </c>
      <c r="C33" t="s">
        <v>39</v>
      </c>
      <c r="D33" s="25">
        <v>0</v>
      </c>
      <c r="E33" s="25">
        <v>47.7</v>
      </c>
      <c r="F33" s="25">
        <v>48.2</v>
      </c>
      <c r="G33" s="25">
        <v>48.7</v>
      </c>
      <c r="H33" s="25">
        <v>51.4</v>
      </c>
      <c r="I33" s="25">
        <v>52.7</v>
      </c>
      <c r="J33" s="25">
        <v>54.1</v>
      </c>
      <c r="K33" s="25">
        <v>56.2</v>
      </c>
      <c r="L33" s="7">
        <f t="shared" si="3"/>
        <v>1.252367688022284</v>
      </c>
      <c r="M33" s="7">
        <f t="shared" si="4"/>
        <v>1.2051289517068422</v>
      </c>
      <c r="N33" s="7">
        <f t="shared" si="5"/>
        <v>1.1417475454678085</v>
      </c>
      <c r="O33" t="s">
        <v>111</v>
      </c>
    </row>
    <row r="34" spans="2:17">
      <c r="B34">
        <v>12</v>
      </c>
      <c r="C34" t="s">
        <v>100</v>
      </c>
      <c r="D34" s="15">
        <v>274.5</v>
      </c>
      <c r="E34" s="15">
        <v>278.5</v>
      </c>
      <c r="F34" s="15">
        <v>283.8</v>
      </c>
      <c r="G34" s="15">
        <v>288.8</v>
      </c>
      <c r="H34" s="15">
        <v>293.5</v>
      </c>
      <c r="I34" s="15">
        <v>299.10000000000002</v>
      </c>
      <c r="J34" s="15">
        <v>314.5</v>
      </c>
      <c r="K34" s="15">
        <v>321.8</v>
      </c>
      <c r="L34" s="7">
        <f>K34/AVERAGE(D34:K34)</f>
        <v>1.0933956253981738</v>
      </c>
      <c r="M34" s="7">
        <f t="shared" si="4"/>
        <v>1.0221391549814363</v>
      </c>
      <c r="N34" s="7">
        <f t="shared" si="5"/>
        <v>0.99681729532245111</v>
      </c>
      <c r="O34" t="s">
        <v>111</v>
      </c>
    </row>
    <row r="35" spans="2:17">
      <c r="B35">
        <v>13</v>
      </c>
      <c r="C35" t="s">
        <v>40</v>
      </c>
      <c r="D35" s="25">
        <v>139.30000000000001</v>
      </c>
      <c r="E35" s="25">
        <v>140.19999999999999</v>
      </c>
      <c r="F35" s="25">
        <v>141.69999999999999</v>
      </c>
      <c r="G35" s="25">
        <v>143.69999999999999</v>
      </c>
      <c r="H35" s="25">
        <v>145</v>
      </c>
      <c r="I35" s="25">
        <v>146.69999999999999</v>
      </c>
      <c r="J35" s="25">
        <v>149.9</v>
      </c>
      <c r="K35" s="25">
        <v>153.1</v>
      </c>
      <c r="L35" s="7">
        <f t="shared" si="3"/>
        <v>1.0562262849258366</v>
      </c>
      <c r="M35" s="7">
        <f t="shared" si="4"/>
        <v>0.99604081117126197</v>
      </c>
      <c r="N35" s="7">
        <f t="shared" si="5"/>
        <v>0.96293107831379798</v>
      </c>
    </row>
    <row r="36" spans="2:17">
      <c r="B36">
        <v>14</v>
      </c>
      <c r="C36" t="s">
        <v>41</v>
      </c>
      <c r="D36" s="15">
        <v>2424.1</v>
      </c>
      <c r="E36" s="15">
        <v>2464.9</v>
      </c>
      <c r="F36" s="15">
        <v>2509.9</v>
      </c>
      <c r="G36" s="15">
        <v>2571.6999999999998</v>
      </c>
      <c r="H36" s="15">
        <v>2694.4</v>
      </c>
      <c r="I36" s="15">
        <v>2860.6</v>
      </c>
      <c r="J36" s="15">
        <v>2956.4</v>
      </c>
      <c r="K36" s="15">
        <v>3040.8</v>
      </c>
      <c r="L36" s="7">
        <f t="shared" si="3"/>
        <v>1.1302618618395377</v>
      </c>
      <c r="M36" s="7">
        <f t="shared" si="4"/>
        <v>1</v>
      </c>
      <c r="N36" s="7">
        <f t="shared" si="5"/>
        <v>1.0304271811172803</v>
      </c>
      <c r="O36" t="s">
        <v>111</v>
      </c>
      <c r="Q36" t="s">
        <v>108</v>
      </c>
    </row>
    <row r="37" spans="2:17">
      <c r="L37" s="7">
        <f>AVERAGE(L23:L36)</f>
        <v>1.0968866918029161</v>
      </c>
      <c r="Q37" t="s">
        <v>109</v>
      </c>
    </row>
    <row r="38" spans="2:17">
      <c r="C38" s="7" t="s">
        <v>28</v>
      </c>
      <c r="D38" s="7">
        <f>D23/D4</f>
        <v>0.16913342503438789</v>
      </c>
      <c r="E38" s="7">
        <f t="shared" ref="E38:K38" si="6">E23/E4</f>
        <v>0.16875644574716386</v>
      </c>
      <c r="F38" s="7">
        <f t="shared" si="6"/>
        <v>0.1684137340892074</v>
      </c>
      <c r="G38" s="7">
        <f t="shared" si="6"/>
        <v>0.16836116525312123</v>
      </c>
      <c r="H38" s="7">
        <f t="shared" si="6"/>
        <v>0.168321463845714</v>
      </c>
      <c r="I38" s="7">
        <f t="shared" si="6"/>
        <v>0.16884783166538364</v>
      </c>
      <c r="J38" s="7">
        <f t="shared" si="6"/>
        <v>0.16931484667543772</v>
      </c>
      <c r="K38" s="7">
        <f t="shared" si="6"/>
        <v>0.16937134867928297</v>
      </c>
      <c r="Q38" t="s">
        <v>110</v>
      </c>
    </row>
    <row r="39" spans="2:17">
      <c r="C39" s="7" t="s">
        <v>29</v>
      </c>
      <c r="D39" s="7">
        <f t="shared" ref="D39:K39" si="7">D24/D5</f>
        <v>0.14241350210970463</v>
      </c>
      <c r="E39" s="7">
        <f t="shared" si="7"/>
        <v>0.14194640900488098</v>
      </c>
      <c r="F39" s="7">
        <f t="shared" si="7"/>
        <v>0.14147836577651698</v>
      </c>
      <c r="G39" s="7">
        <f t="shared" si="7"/>
        <v>0.14122198420564633</v>
      </c>
      <c r="H39" s="7">
        <f t="shared" si="7"/>
        <v>0.14114990119506918</v>
      </c>
      <c r="I39" s="7">
        <f t="shared" si="7"/>
        <v>0.1409251575226679</v>
      </c>
      <c r="J39" s="7">
        <f t="shared" si="7"/>
        <v>0.14087940530291632</v>
      </c>
      <c r="K39" s="7">
        <f t="shared" si="7"/>
        <v>0.14164506245580957</v>
      </c>
    </row>
    <row r="40" spans="2:17">
      <c r="C40" s="7" t="s">
        <v>30</v>
      </c>
      <c r="D40" s="7">
        <f t="shared" ref="D40:K40" si="8">D25/D6</f>
        <v>0.14971521562245729</v>
      </c>
      <c r="E40" s="7">
        <f t="shared" si="8"/>
        <v>0.14779168003422091</v>
      </c>
      <c r="F40" s="7">
        <f t="shared" si="8"/>
        <v>0.14661177960734642</v>
      </c>
      <c r="G40" s="7">
        <f t="shared" si="8"/>
        <v>0.14564166536722281</v>
      </c>
      <c r="H40" s="7">
        <f t="shared" si="8"/>
        <v>0.14441990652765652</v>
      </c>
      <c r="I40" s="7">
        <f t="shared" si="8"/>
        <v>0.14356535815459329</v>
      </c>
      <c r="J40" s="7">
        <f t="shared" si="8"/>
        <v>0.14390207493655768</v>
      </c>
      <c r="K40" s="7">
        <f t="shared" si="8"/>
        <v>0.1440802348336595</v>
      </c>
    </row>
    <row r="41" spans="2:17">
      <c r="C41" s="7" t="s">
        <v>31</v>
      </c>
      <c r="D41" s="7">
        <f t="shared" ref="D41:K41" si="9">D26/D7</f>
        <v>0.13036126056879324</v>
      </c>
      <c r="E41" s="7">
        <f t="shared" si="9"/>
        <v>0.12958490566037734</v>
      </c>
      <c r="F41" s="7">
        <f t="shared" si="9"/>
        <v>0.12895593019816623</v>
      </c>
      <c r="G41" s="7">
        <f t="shared" si="9"/>
        <v>0.12835540120107083</v>
      </c>
      <c r="H41" s="7">
        <f t="shared" si="9"/>
        <v>0.12796880538816022</v>
      </c>
      <c r="I41" s="7">
        <f t="shared" si="9"/>
        <v>0.12823888042122764</v>
      </c>
      <c r="J41" s="7">
        <f t="shared" si="9"/>
        <v>0.1298542866824805</v>
      </c>
      <c r="K41" s="7">
        <f t="shared" si="9"/>
        <v>0.12989253018442351</v>
      </c>
    </row>
    <row r="42" spans="2:17">
      <c r="C42" s="7" t="s">
        <v>32</v>
      </c>
      <c r="D42" s="7">
        <f t="shared" ref="D42:K42" si="10">D27/D8</f>
        <v>8.5534835534835527E-2</v>
      </c>
      <c r="E42" s="7">
        <f t="shared" si="10"/>
        <v>8.4995553296912718E-2</v>
      </c>
      <c r="F42" s="7">
        <f t="shared" si="10"/>
        <v>8.4248856244748066E-2</v>
      </c>
      <c r="G42" s="7">
        <f t="shared" si="10"/>
        <v>8.3800756005365185E-2</v>
      </c>
      <c r="H42" s="7">
        <f t="shared" si="10"/>
        <v>8.3438268273670332E-2</v>
      </c>
      <c r="I42" s="7">
        <f t="shared" si="10"/>
        <v>8.3091277176304892E-2</v>
      </c>
      <c r="J42" s="7">
        <f t="shared" si="10"/>
        <v>8.2962409901501874E-2</v>
      </c>
      <c r="K42" s="7">
        <f t="shared" si="10"/>
        <v>8.3019715778239633E-2</v>
      </c>
    </row>
    <row r="43" spans="2:17">
      <c r="C43" s="7" t="s">
        <v>33</v>
      </c>
      <c r="D43" s="7">
        <f t="shared" ref="D43:K43" si="11">D28/D9</f>
        <v>0.14223589308442935</v>
      </c>
      <c r="E43" s="7">
        <f t="shared" si="11"/>
        <v>0.14154488517745303</v>
      </c>
      <c r="F43" s="7">
        <f t="shared" si="11"/>
        <v>0.13925472179683512</v>
      </c>
      <c r="G43" s="7">
        <f t="shared" si="11"/>
        <v>0.14461939624912243</v>
      </c>
      <c r="H43" s="7">
        <f t="shared" si="11"/>
        <v>0.14492896606156275</v>
      </c>
      <c r="I43" s="7">
        <f t="shared" si="11"/>
        <v>0.14566205629171097</v>
      </c>
      <c r="J43" s="7">
        <f t="shared" si="11"/>
        <v>0.14779725248697301</v>
      </c>
      <c r="K43" s="7">
        <f t="shared" si="11"/>
        <v>0.15000464986515394</v>
      </c>
    </row>
    <row r="44" spans="2:17">
      <c r="C44" s="7" t="s">
        <v>34</v>
      </c>
      <c r="D44" s="7">
        <f t="shared" ref="D44:K44" si="12">D29/D10</f>
        <v>0.222515457698688</v>
      </c>
      <c r="E44" s="7">
        <f t="shared" si="12"/>
        <v>0.22232923396058679</v>
      </c>
      <c r="F44" s="7">
        <f t="shared" si="12"/>
        <v>0.22238366813178831</v>
      </c>
      <c r="G44" s="7">
        <f t="shared" si="12"/>
        <v>0.22274797210758501</v>
      </c>
      <c r="H44" s="7">
        <f t="shared" si="12"/>
        <v>0.22486486486486484</v>
      </c>
      <c r="I44" s="7">
        <f t="shared" si="12"/>
        <v>0.22554672307324897</v>
      </c>
      <c r="J44" s="7">
        <f t="shared" si="12"/>
        <v>0.22625521267723103</v>
      </c>
      <c r="K44" s="7">
        <f t="shared" si="12"/>
        <v>0.22716154071948078</v>
      </c>
    </row>
    <row r="45" spans="2:17">
      <c r="C45" s="7" t="s">
        <v>35</v>
      </c>
      <c r="D45" s="7">
        <f t="shared" ref="D45:K45" si="13">D30/D11</f>
        <v>0.14344004162444887</v>
      </c>
      <c r="E45" s="7">
        <f t="shared" si="13"/>
        <v>0.14236176446869708</v>
      </c>
      <c r="F45" s="7">
        <f t="shared" si="13"/>
        <v>0.14167258943378347</v>
      </c>
      <c r="G45" s="7">
        <f t="shared" si="13"/>
        <v>0.1408933821633053</v>
      </c>
      <c r="H45" s="7">
        <f t="shared" si="13"/>
        <v>0.13975226081009198</v>
      </c>
      <c r="I45" s="7">
        <f t="shared" si="13"/>
        <v>0.13933470592612807</v>
      </c>
      <c r="J45" s="7">
        <f t="shared" si="13"/>
        <v>0.13908989364285368</v>
      </c>
      <c r="K45" s="7">
        <f t="shared" si="13"/>
        <v>0.13905191873589165</v>
      </c>
    </row>
    <row r="46" spans="2:17">
      <c r="C46" s="7" t="s">
        <v>36</v>
      </c>
      <c r="D46" s="7">
        <f t="shared" ref="D46:K46" si="14">D31/D12</f>
        <v>5.7710270884944966E-2</v>
      </c>
      <c r="E46" s="7">
        <f t="shared" si="14"/>
        <v>5.7195131652215424E-2</v>
      </c>
      <c r="F46" s="7">
        <f t="shared" si="14"/>
        <v>5.6461340908206543E-2</v>
      </c>
      <c r="G46" s="7">
        <f t="shared" si="14"/>
        <v>6.8312350233920349E-2</v>
      </c>
      <c r="H46" s="7">
        <f t="shared" si="14"/>
        <v>6.8188600417785739E-2</v>
      </c>
      <c r="I46" s="7">
        <f t="shared" si="14"/>
        <v>6.9079906678331873E-2</v>
      </c>
      <c r="J46" s="7">
        <f t="shared" si="14"/>
        <v>6.9730981649741661E-2</v>
      </c>
      <c r="K46" s="7">
        <f t="shared" si="14"/>
        <v>7.0070557158249627E-2</v>
      </c>
    </row>
    <row r="47" spans="2:17">
      <c r="C47" s="7" t="s">
        <v>37</v>
      </c>
      <c r="D47" s="7">
        <f t="shared" ref="D47:K47" si="15">D32/D13</f>
        <v>0.10895280786950566</v>
      </c>
      <c r="E47" s="7">
        <f t="shared" si="15"/>
        <v>0.10810148302488051</v>
      </c>
      <c r="F47" s="7">
        <f t="shared" si="15"/>
        <v>0.10724183636582721</v>
      </c>
      <c r="G47" s="7">
        <f t="shared" si="15"/>
        <v>0.10681791326952618</v>
      </c>
      <c r="H47" s="7">
        <f t="shared" si="15"/>
        <v>0.10605180624927402</v>
      </c>
      <c r="I47" s="7">
        <f t="shared" si="15"/>
        <v>0.10630548600045528</v>
      </c>
      <c r="J47" s="7">
        <f t="shared" si="15"/>
        <v>0.10729422261878206</v>
      </c>
      <c r="K47" s="7">
        <f t="shared" si="15"/>
        <v>0.10864332603938731</v>
      </c>
    </row>
    <row r="48" spans="2:17">
      <c r="C48" s="7" t="s">
        <v>39</v>
      </c>
      <c r="D48" s="7">
        <f>D33/D14</f>
        <v>0</v>
      </c>
      <c r="E48" s="7">
        <f t="shared" ref="E48:K48" si="16">E33/E14</f>
        <v>1.6671326716063192E-2</v>
      </c>
      <c r="F48" s="7">
        <f t="shared" si="16"/>
        <v>1.6629291012592723E-2</v>
      </c>
      <c r="G48" s="7">
        <f t="shared" si="16"/>
        <v>1.655392773377749E-2</v>
      </c>
      <c r="H48" s="7">
        <f t="shared" si="16"/>
        <v>1.7272085755569742E-2</v>
      </c>
      <c r="I48" s="7">
        <f t="shared" si="16"/>
        <v>1.7916029236783954E-2</v>
      </c>
      <c r="J48" s="7">
        <f t="shared" si="16"/>
        <v>1.8073094140442305E-2</v>
      </c>
      <c r="K48" s="7">
        <f t="shared" si="16"/>
        <v>1.8415361426043646E-2</v>
      </c>
    </row>
    <row r="49" spans="3:11">
      <c r="C49" s="7" t="s">
        <v>100</v>
      </c>
      <c r="D49" s="7">
        <f t="shared" ref="D49:K49" si="17">D34/D15</f>
        <v>7.7002917414721719E-2</v>
      </c>
      <c r="E49" s="7">
        <f t="shared" si="17"/>
        <v>7.6929451411524227E-2</v>
      </c>
      <c r="F49" s="7">
        <f t="shared" si="17"/>
        <v>7.7050471044986829E-2</v>
      </c>
      <c r="G49" s="7">
        <f t="shared" si="17"/>
        <v>7.697228144989339E-2</v>
      </c>
      <c r="H49" s="7">
        <f t="shared" si="17"/>
        <v>7.683246073298429E-2</v>
      </c>
      <c r="I49" s="7">
        <f t="shared" si="17"/>
        <v>7.6763165999384056E-2</v>
      </c>
      <c r="J49" s="7">
        <f t="shared" si="17"/>
        <v>7.9093629756306114E-2</v>
      </c>
      <c r="K49" s="7">
        <f t="shared" si="17"/>
        <v>7.9231810907300262E-2</v>
      </c>
    </row>
    <row r="50" spans="3:11">
      <c r="C50" s="7" t="s">
        <v>40</v>
      </c>
      <c r="D50" s="7">
        <f t="shared" ref="D50:K50" si="18">D35/D16</f>
        <v>7.8403782293015145E-2</v>
      </c>
      <c r="E50" s="7">
        <f t="shared" si="18"/>
        <v>7.7673130193905815E-2</v>
      </c>
      <c r="F50" s="7">
        <f t="shared" si="18"/>
        <v>7.7191262188810797E-2</v>
      </c>
      <c r="G50" s="7">
        <f t="shared" si="18"/>
        <v>7.6989016876506819E-2</v>
      </c>
      <c r="H50" s="7">
        <f t="shared" si="18"/>
        <v>7.6585855384777898E-2</v>
      </c>
      <c r="I50" s="7">
        <f t="shared" si="18"/>
        <v>7.6239476145930768E-2</v>
      </c>
      <c r="J50" s="7">
        <f t="shared" si="18"/>
        <v>7.6553802155150411E-2</v>
      </c>
      <c r="K50" s="7">
        <f t="shared" si="18"/>
        <v>7.6718781318901585E-2</v>
      </c>
    </row>
    <row r="51" spans="3:11">
      <c r="C51" t="s">
        <v>41</v>
      </c>
    </row>
  </sheetData>
  <sortState ref="B23:M36">
    <sortCondition ref="B23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Population Data</vt:lpstr>
      <vt:lpstr>Sheet1</vt:lpstr>
      <vt:lpstr>Лист2</vt:lpstr>
      <vt:lpstr>Sources</vt:lpstr>
      <vt:lpstr>Лист1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Пользователь</cp:lastModifiedBy>
  <dcterms:created xsi:type="dcterms:W3CDTF">2025-08-26T17:58:31Z</dcterms:created>
  <dcterms:modified xsi:type="dcterms:W3CDTF">2025-09-29T14:18:11Z</dcterms:modified>
</cp:coreProperties>
</file>