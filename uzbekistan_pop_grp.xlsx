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imursabitov/Documents/"/>
    </mc:Choice>
  </mc:AlternateContent>
  <xr:revisionPtr revIDLastSave="0" documentId="8_{FFF9E878-791A-024A-A85C-7C841359B262}" xr6:coauthVersionLast="47" xr6:coauthVersionMax="47" xr10:uidLastSave="{00000000-0000-0000-0000-000000000000}"/>
  <bookViews>
    <workbookView xWindow="0" yWindow="760" windowWidth="29400" windowHeight="16480" activeTab="2" xr2:uid="{00000000-000D-0000-FFFF-FFFF00000000}"/>
  </bookViews>
  <sheets>
    <sheet name="Population Data" sheetId="1" r:id="rId1"/>
    <sheet name="Sheet1" sheetId="3" r:id="rId2"/>
    <sheet name="Sour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I58" i="3"/>
  <c r="H58" i="3"/>
  <c r="G58" i="3"/>
  <c r="C20" i="3"/>
  <c r="E20" i="3"/>
  <c r="F20" i="3"/>
  <c r="G20" i="3"/>
  <c r="H20" i="3"/>
  <c r="I20" i="3"/>
  <c r="J20" i="3"/>
  <c r="D20" i="3"/>
  <c r="J76" i="3"/>
  <c r="C17" i="3"/>
  <c r="C25" i="3" s="1"/>
  <c r="D17" i="3"/>
  <c r="D24" i="3" s="1"/>
  <c r="E17" i="3"/>
  <c r="E24" i="3" s="1"/>
  <c r="F17" i="3"/>
  <c r="F24" i="3" s="1"/>
  <c r="G17" i="3"/>
  <c r="G25" i="3" s="1"/>
  <c r="J17" i="3"/>
  <c r="J24" i="3" s="1"/>
  <c r="I17" i="3"/>
  <c r="I25" i="3" s="1"/>
  <c r="H17" i="3"/>
  <c r="H25" i="3" s="1"/>
  <c r="F58" i="3"/>
  <c r="E58" i="3"/>
  <c r="D58" i="3"/>
  <c r="J58" i="3"/>
  <c r="F3" i="1"/>
  <c r="E18" i="1"/>
  <c r="J36" i="3" l="1"/>
  <c r="J27" i="3"/>
  <c r="H28" i="3"/>
  <c r="J32" i="3"/>
  <c r="H32" i="3"/>
  <c r="J31" i="3"/>
  <c r="H36" i="3"/>
  <c r="I80" i="3"/>
  <c r="J28" i="3"/>
  <c r="J35" i="3"/>
  <c r="H35" i="3"/>
  <c r="H27" i="3"/>
  <c r="C24" i="3"/>
  <c r="J34" i="3"/>
  <c r="J30" i="3"/>
  <c r="J26" i="3"/>
  <c r="H24" i="3"/>
  <c r="H34" i="3"/>
  <c r="H30" i="3"/>
  <c r="H26" i="3"/>
  <c r="H31" i="3"/>
  <c r="J37" i="3"/>
  <c r="J33" i="3"/>
  <c r="J29" i="3"/>
  <c r="J25" i="3"/>
  <c r="H37" i="3"/>
  <c r="H33" i="3"/>
  <c r="H29" i="3"/>
  <c r="I36" i="3"/>
  <c r="I34" i="3"/>
  <c r="I24" i="3"/>
  <c r="G37" i="3"/>
  <c r="G34" i="3"/>
  <c r="G32" i="3"/>
  <c r="G29" i="3"/>
  <c r="G26" i="3"/>
  <c r="G24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I37" i="3"/>
  <c r="G36" i="3"/>
  <c r="G35" i="3"/>
  <c r="G33" i="3"/>
  <c r="G31" i="3"/>
  <c r="G30" i="3"/>
  <c r="G28" i="3"/>
  <c r="G27" i="3"/>
  <c r="C37" i="3"/>
  <c r="C36" i="3"/>
  <c r="C35" i="3"/>
  <c r="C34" i="3"/>
  <c r="C33" i="3"/>
  <c r="C32" i="3"/>
  <c r="C31" i="3"/>
  <c r="C30" i="3"/>
  <c r="C29" i="3"/>
  <c r="C28" i="3"/>
  <c r="C27" i="3"/>
  <c r="C26" i="3"/>
  <c r="I35" i="3"/>
  <c r="I33" i="3"/>
  <c r="I32" i="3"/>
  <c r="I31" i="3"/>
  <c r="I30" i="3"/>
  <c r="I29" i="3"/>
  <c r="I28" i="3"/>
  <c r="I27" i="3"/>
  <c r="I26" i="3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46" i="1"/>
  <c r="H18" i="1"/>
  <c r="H19" i="1" s="1"/>
  <c r="F8" i="1"/>
  <c r="I8" i="1" s="1"/>
  <c r="J8" i="1" s="1"/>
  <c r="J13" i="1"/>
  <c r="J16" i="1"/>
  <c r="O1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3" i="1"/>
  <c r="F7" i="1" l="1"/>
  <c r="I7" i="1" s="1"/>
  <c r="J7" i="1" s="1"/>
  <c r="F10" i="1"/>
  <c r="I10" i="1" s="1"/>
  <c r="J10" i="1" s="1"/>
  <c r="I3" i="1"/>
  <c r="F15" i="1"/>
  <c r="I15" i="1" s="1"/>
  <c r="J15" i="1" s="1"/>
  <c r="F6" i="1"/>
  <c r="I6" i="1" s="1"/>
  <c r="J6" i="1" s="1"/>
  <c r="F12" i="1"/>
  <c r="I12" i="1" s="1"/>
  <c r="J12" i="1" s="1"/>
  <c r="F4" i="1"/>
  <c r="I4" i="1" s="1"/>
  <c r="J4" i="1" s="1"/>
  <c r="F9" i="1"/>
  <c r="I9" i="1" s="1"/>
  <c r="J9" i="1" s="1"/>
  <c r="F16" i="1"/>
  <c r="F14" i="1"/>
  <c r="I14" i="1" s="1"/>
  <c r="J14" i="1" s="1"/>
  <c r="F13" i="1"/>
  <c r="I17" i="1" s="1"/>
  <c r="J17" i="1" s="1"/>
  <c r="F5" i="1"/>
  <c r="I5" i="1" s="1"/>
  <c r="J5" i="1" s="1"/>
  <c r="F11" i="1"/>
  <c r="I11" i="1" s="1"/>
  <c r="J11" i="1" s="1"/>
  <c r="J3" i="1" l="1"/>
  <c r="I18" i="1"/>
  <c r="J18" i="1" s="1"/>
  <c r="F18" i="1"/>
  <c r="J19" i="1"/>
</calcChain>
</file>

<file path=xl/sharedStrings.xml><?xml version="1.0" encoding="utf-8"?>
<sst xmlns="http://schemas.openxmlformats.org/spreadsheetml/2006/main" count="278" uniqueCount="85">
  <si>
    <t>Uzbekistan Population by Region (2024–2025)</t>
  </si>
  <si>
    <t>Region</t>
  </si>
  <si>
    <t>Population_Apr2024</t>
  </si>
  <si>
    <t>Republic of Karakalpakstan</t>
  </si>
  <si>
    <t>Andijan region</t>
  </si>
  <si>
    <t>Bukhara region</t>
  </si>
  <si>
    <t>Jizzakh region</t>
  </si>
  <si>
    <t>Kashkadarya region</t>
  </si>
  <si>
    <t>Navoi region</t>
  </si>
  <si>
    <t>Namangan region</t>
  </si>
  <si>
    <t>Samarkand region</t>
  </si>
  <si>
    <t>Surkhandarya region</t>
  </si>
  <si>
    <t>Syrdarya region</t>
  </si>
  <si>
    <t>Tashkent region</t>
  </si>
  <si>
    <t>Fergana region</t>
  </si>
  <si>
    <t>Khorezm region</t>
  </si>
  <si>
    <t>Tashkent city</t>
  </si>
  <si>
    <t>Data Sources</t>
  </si>
  <si>
    <t>State Committee of the Republic of Uzbekistan on Statistics</t>
  </si>
  <si>
    <t>Population as of April 1, 2024</t>
  </si>
  <si>
    <t>https://stat.uz/en/press-center/news-of-committee/52880-hududlar-kesi-mida-doi-miy-aholi-soni-4</t>
  </si>
  <si>
    <t>Population as of July 1, 2025</t>
  </si>
  <si>
    <t>https://stat.uz/en/press-center/news-of-committee/63476-ajsi-udud-a-olisi-soni-eng-tez-smo-da-4</t>
  </si>
  <si>
    <t>GRP</t>
  </si>
  <si>
    <t>per capita</t>
  </si>
  <si>
    <t>usd</t>
  </si>
  <si>
    <t>GDP total mln usd</t>
  </si>
  <si>
    <t>City pop</t>
  </si>
  <si>
    <t>Nukus</t>
  </si>
  <si>
    <t>Andijan</t>
  </si>
  <si>
    <t>Bukhara</t>
  </si>
  <si>
    <t>Jizzakh</t>
  </si>
  <si>
    <t>Qarshi</t>
  </si>
  <si>
    <t>Navoi</t>
  </si>
  <si>
    <t>Namangan</t>
  </si>
  <si>
    <t>Samarkand</t>
  </si>
  <si>
    <t>Termiz</t>
  </si>
  <si>
    <t>Gulistan</t>
  </si>
  <si>
    <t xml:space="preserve">Fergana </t>
  </si>
  <si>
    <t>Nurafshon</t>
  </si>
  <si>
    <t>Urgench</t>
  </si>
  <si>
    <t>Tashkent</t>
  </si>
  <si>
    <t>Urban ppulation</t>
  </si>
  <si>
    <t>City</t>
  </si>
  <si>
    <t>Ag/For/Fish</t>
  </si>
  <si>
    <t>Industry</t>
  </si>
  <si>
    <t>Construction</t>
  </si>
  <si>
    <t>Service</t>
  </si>
  <si>
    <t>Total</t>
  </si>
  <si>
    <t>Total (%)</t>
  </si>
  <si>
    <t>Region GDP estimate</t>
  </si>
  <si>
    <t>gdp per cap</t>
  </si>
  <si>
    <t>City GDP</t>
  </si>
  <si>
    <t>Agriculture coeff</t>
  </si>
  <si>
    <t>Industry coeff</t>
  </si>
  <si>
    <t>Construction coeff</t>
  </si>
  <si>
    <t>Services coeff</t>
  </si>
  <si>
    <t>~</t>
  </si>
  <si>
    <t>14 cities capture about 19% of Urban population of the country</t>
  </si>
  <si>
    <t xml:space="preserve">City </t>
  </si>
  <si>
    <t xml:space="preserve"> City Population (thousands) </t>
  </si>
  <si>
    <t xml:space="preserve"> Region Population (thousands) </t>
  </si>
  <si>
    <t xml:space="preserve"> Regional GDP (mln USD) </t>
  </si>
  <si>
    <t xml:space="preserve"> City GDP (mln USD) </t>
  </si>
  <si>
    <t xml:space="preserve"> City GDP per Capita (USD) </t>
  </si>
  <si>
    <t xml:space="preserve"> Agriculture (%) </t>
  </si>
  <si>
    <t xml:space="preserve"> Industry (%) </t>
  </si>
  <si>
    <t xml:space="preserve"> Construction (%) </t>
  </si>
  <si>
    <t xml:space="preserve"> Services (%)</t>
  </si>
  <si>
    <t xml:space="preserve"> Regional GDP per Capita</t>
  </si>
  <si>
    <t>18.7% 32%</t>
  </si>
  <si>
    <t>Total+unallocated</t>
  </si>
  <si>
    <t>GDP/Year</t>
  </si>
  <si>
    <t>Jan-Dec</t>
  </si>
  <si>
    <t>17.9 Tashkent excluded</t>
  </si>
  <si>
    <t>19,5 Tashkent included</t>
  </si>
  <si>
    <t>USD/UZS Exch</t>
  </si>
  <si>
    <t>GDP (Bil USD)</t>
  </si>
  <si>
    <t>GDP per Capita*</t>
  </si>
  <si>
    <t xml:space="preserve">City population </t>
  </si>
  <si>
    <t>Regions population</t>
  </si>
  <si>
    <t>GDP Volume (bil sum)</t>
  </si>
  <si>
    <t>Agriculture</t>
  </si>
  <si>
    <t>Services</t>
  </si>
  <si>
    <t>https://stat.uz/en/quarterly-reports/5870-2018#january-september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</si>
</sst>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CCCCCC"/>
      <name val="Menlo"/>
      <family val="2"/>
    </font>
    <font>
      <sz val="12"/>
      <color rgb="FF4FC1FF"/>
      <name val="Menlo"/>
      <family val="2"/>
    </font>
    <font>
      <sz val="12"/>
      <color rgb="FFCE9178"/>
      <name val="Menlo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  <xf numFmtId="0" fontId="3" fillId="0" borderId="0" xfId="0" applyFont="1"/>
    <xf numFmtId="2" fontId="1" fillId="0" borderId="0" xfId="0" applyNumberFormat="1" applyFont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6" fillId="0" borderId="0" xfId="0" applyNumberFormat="1" applyFont="1"/>
    <xf numFmtId="2" fontId="0" fillId="4" borderId="0" xfId="0" applyNumberFormat="1" applyFill="1"/>
    <xf numFmtId="2" fontId="0" fillId="5" borderId="0" xfId="0" applyNumberFormat="1" applyFill="1"/>
    <xf numFmtId="0" fontId="0" fillId="5" borderId="0" xfId="0" applyFill="1"/>
    <xf numFmtId="2" fontId="7" fillId="0" borderId="0" xfId="0" applyNumberFormat="1" applyFont="1"/>
    <xf numFmtId="164" fontId="0" fillId="0" borderId="0" xfId="0" applyNumberFormat="1"/>
    <xf numFmtId="2" fontId="0" fillId="6" borderId="0" xfId="0" applyNumberFormat="1" applyFill="1"/>
    <xf numFmtId="0" fontId="0" fillId="3" borderId="0" xfId="0" applyFill="1"/>
    <xf numFmtId="0" fontId="6" fillId="0" borderId="0" xfId="0" applyFont="1"/>
    <xf numFmtId="0" fontId="8" fillId="0" borderId="0" xfId="0" applyFont="1"/>
    <xf numFmtId="0" fontId="7" fillId="0" borderId="0" xfId="0" applyFont="1"/>
    <xf numFmtId="165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2" fontId="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by Region (2024 vs 2025)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Data'!$B$1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'Population Data'!$A$2:$A$15</c:f>
              <c:strCache>
                <c:ptCount val="14"/>
                <c:pt idx="0">
                  <c:v>Region</c:v>
                </c:pt>
                <c:pt idx="1">
                  <c:v>Republic of Karakalpakstan</c:v>
                </c:pt>
                <c:pt idx="2">
                  <c:v>Andijan region</c:v>
                </c:pt>
                <c:pt idx="3">
                  <c:v>Bukhara region</c:v>
                </c:pt>
                <c:pt idx="4">
                  <c:v>Jizzakh region</c:v>
                </c:pt>
                <c:pt idx="5">
                  <c:v>Kashkadarya region</c:v>
                </c:pt>
                <c:pt idx="6">
                  <c:v>Navoi region</c:v>
                </c:pt>
                <c:pt idx="7">
                  <c:v>Namangan region</c:v>
                </c:pt>
                <c:pt idx="8">
                  <c:v>Samarkand region</c:v>
                </c:pt>
                <c:pt idx="9">
                  <c:v>Surkhandarya region</c:v>
                </c:pt>
                <c:pt idx="10">
                  <c:v>Syrdarya region</c:v>
                </c:pt>
                <c:pt idx="11">
                  <c:v>Tashkent region</c:v>
                </c:pt>
                <c:pt idx="12">
                  <c:v>Fergana region</c:v>
                </c:pt>
                <c:pt idx="13">
                  <c:v>Khorezm region</c:v>
                </c:pt>
              </c:strCache>
            </c:strRef>
          </c:cat>
          <c:val>
            <c:numRef>
              <c:f>'Population Data'!$B$2:$B$15</c:f>
              <c:numCache>
                <c:formatCode>0.00</c:formatCode>
                <c:ptCount val="14"/>
                <c:pt idx="0">
                  <c:v>0</c:v>
                </c:pt>
                <c:pt idx="1">
                  <c:v>2008.8</c:v>
                </c:pt>
                <c:pt idx="2">
                  <c:v>3409</c:v>
                </c:pt>
                <c:pt idx="3">
                  <c:v>2050.6</c:v>
                </c:pt>
                <c:pt idx="4">
                  <c:v>1514.5</c:v>
                </c:pt>
                <c:pt idx="5">
                  <c:v>3577</c:v>
                </c:pt>
                <c:pt idx="6">
                  <c:v>1079.9000000000001</c:v>
                </c:pt>
                <c:pt idx="7">
                  <c:v>3079.9</c:v>
                </c:pt>
                <c:pt idx="8">
                  <c:v>4227.3</c:v>
                </c:pt>
                <c:pt idx="9">
                  <c:v>2891.7</c:v>
                </c:pt>
                <c:pt idx="10">
                  <c:v>917.9</c:v>
                </c:pt>
                <c:pt idx="11">
                  <c:v>3066</c:v>
                </c:pt>
                <c:pt idx="12">
                  <c:v>4079.5</c:v>
                </c:pt>
                <c:pt idx="13">
                  <c:v>2002.8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B-FD48-A365-738780096367}"/>
            </c:ext>
          </c:extLst>
        </c:ser>
        <c:ser>
          <c:idx val="1"/>
          <c:order val="1"/>
          <c:tx>
            <c:strRef>
              <c:f>'Population Data'!$C$1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'Population Data'!$A$2:$A$15</c:f>
              <c:strCache>
                <c:ptCount val="14"/>
                <c:pt idx="0">
                  <c:v>Region</c:v>
                </c:pt>
                <c:pt idx="1">
                  <c:v>Republic of Karakalpakstan</c:v>
                </c:pt>
                <c:pt idx="2">
                  <c:v>Andijan region</c:v>
                </c:pt>
                <c:pt idx="3">
                  <c:v>Bukhara region</c:v>
                </c:pt>
                <c:pt idx="4">
                  <c:v>Jizzakh region</c:v>
                </c:pt>
                <c:pt idx="5">
                  <c:v>Kashkadarya region</c:v>
                </c:pt>
                <c:pt idx="6">
                  <c:v>Navoi region</c:v>
                </c:pt>
                <c:pt idx="7">
                  <c:v>Namangan region</c:v>
                </c:pt>
                <c:pt idx="8">
                  <c:v>Samarkand region</c:v>
                </c:pt>
                <c:pt idx="9">
                  <c:v>Surkhandarya region</c:v>
                </c:pt>
                <c:pt idx="10">
                  <c:v>Syrdarya region</c:v>
                </c:pt>
                <c:pt idx="11">
                  <c:v>Tashkent region</c:v>
                </c:pt>
                <c:pt idx="12">
                  <c:v>Fergana region</c:v>
                </c:pt>
                <c:pt idx="13">
                  <c:v>Khorezm region</c:v>
                </c:pt>
              </c:strCache>
            </c:strRef>
          </c:cat>
          <c:val>
            <c:numRef>
              <c:f>'Population Data'!$C$2:$C$15</c:f>
              <c:numCache>
                <c:formatCode>0.00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1-205B-FD48-A365-738780096367}"/>
            </c:ext>
          </c:extLst>
        </c:ser>
        <c:ser>
          <c:idx val="2"/>
          <c:order val="2"/>
          <c:tx>
            <c:strRef>
              <c:f>'Population Data'!$D$1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'Population Data'!$A$2:$A$15</c:f>
              <c:strCache>
                <c:ptCount val="14"/>
                <c:pt idx="0">
                  <c:v>Region</c:v>
                </c:pt>
                <c:pt idx="1">
                  <c:v>Republic of Karakalpakstan</c:v>
                </c:pt>
                <c:pt idx="2">
                  <c:v>Andijan region</c:v>
                </c:pt>
                <c:pt idx="3">
                  <c:v>Bukhara region</c:v>
                </c:pt>
                <c:pt idx="4">
                  <c:v>Jizzakh region</c:v>
                </c:pt>
                <c:pt idx="5">
                  <c:v>Kashkadarya region</c:v>
                </c:pt>
                <c:pt idx="6">
                  <c:v>Navoi region</c:v>
                </c:pt>
                <c:pt idx="7">
                  <c:v>Namangan region</c:v>
                </c:pt>
                <c:pt idx="8">
                  <c:v>Samarkand region</c:v>
                </c:pt>
                <c:pt idx="9">
                  <c:v>Surkhandarya region</c:v>
                </c:pt>
                <c:pt idx="10">
                  <c:v>Syrdarya region</c:v>
                </c:pt>
                <c:pt idx="11">
                  <c:v>Tashkent region</c:v>
                </c:pt>
                <c:pt idx="12">
                  <c:v>Fergana region</c:v>
                </c:pt>
                <c:pt idx="13">
                  <c:v>Khorezm region</c:v>
                </c:pt>
              </c:strCache>
            </c:strRef>
          </c:cat>
          <c:val>
            <c:numRef>
              <c:f>'Population Data'!$D$2:$D$15</c:f>
              <c:numCache>
                <c:formatCode>0.00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2-205B-FD48-A365-738780096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713000"/>
        <c:axId val="188399856"/>
      </c:barChart>
      <c:catAx>
        <c:axId val="383713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8399856"/>
        <c:crosses val="autoZero"/>
        <c:auto val="0"/>
        <c:lblAlgn val="ctr"/>
        <c:lblOffset val="100"/>
        <c:noMultiLvlLbl val="0"/>
      </c:catAx>
      <c:valAx>
        <c:axId val="188399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 (thousands)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83713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Growth Rate by Region (2024–2025)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Data'!$C$2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'Population Data'!$A$3:$A$16</c:f>
              <c:strCache>
                <c:ptCount val="14"/>
                <c:pt idx="0">
                  <c:v>Republic of Karakalpakstan</c:v>
                </c:pt>
                <c:pt idx="1">
                  <c:v>Andijan region</c:v>
                </c:pt>
                <c:pt idx="2">
                  <c:v>Bukhara region</c:v>
                </c:pt>
                <c:pt idx="3">
                  <c:v>Jizzakh region</c:v>
                </c:pt>
                <c:pt idx="4">
                  <c:v>Kashkadarya region</c:v>
                </c:pt>
                <c:pt idx="5">
                  <c:v>Navoi region</c:v>
                </c:pt>
                <c:pt idx="6">
                  <c:v>Namangan region</c:v>
                </c:pt>
                <c:pt idx="7">
                  <c:v>Samarkand region</c:v>
                </c:pt>
                <c:pt idx="8">
                  <c:v>Surkhandarya region</c:v>
                </c:pt>
                <c:pt idx="9">
                  <c:v>Syrdarya region</c:v>
                </c:pt>
                <c:pt idx="10">
                  <c:v>Tashkent region</c:v>
                </c:pt>
                <c:pt idx="11">
                  <c:v>Fergana region</c:v>
                </c:pt>
                <c:pt idx="12">
                  <c:v>Khorezm region</c:v>
                </c:pt>
                <c:pt idx="13">
                  <c:v>Tashkent city</c:v>
                </c:pt>
              </c:strCache>
            </c:strRef>
          </c:cat>
          <c:val>
            <c:numRef>
              <c:f>'Population Data'!$C$3:$C$16</c:f>
              <c:numCache>
                <c:formatCode>0.00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B-384D-9A0F-3A5894681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69504"/>
        <c:axId val="384145064"/>
      </c:lineChart>
      <c:catAx>
        <c:axId val="18726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84145064"/>
        <c:crosses val="autoZero"/>
        <c:auto val="0"/>
        <c:lblAlgn val="ctr"/>
        <c:lblOffset val="100"/>
        <c:noMultiLvlLbl val="0"/>
      </c:catAx>
      <c:valAx>
        <c:axId val="384145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Rate (%)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87269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GDP/capita distribution</a:t>
            </a:r>
            <a:r>
              <a:rPr lang="en-US" baseline="0"/>
              <a:t> </a:t>
            </a:r>
            <a:br>
              <a:rPr lang="en-US" baseline="0"/>
            </a:br>
            <a:r>
              <a:rPr lang="en-US" baseline="0"/>
              <a:t>- city vs regional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Data'!$J$62</c:f>
              <c:strCache>
                <c:ptCount val="1"/>
                <c:pt idx="0">
                  <c:v> City GDP per Capita (USD) 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'Population Data'!$I$63:$I$76</c:f>
              <c:strCache>
                <c:ptCount val="14"/>
                <c:pt idx="0">
                  <c:v>Nukus</c:v>
                </c:pt>
                <c:pt idx="1">
                  <c:v>Andijan</c:v>
                </c:pt>
                <c:pt idx="2">
                  <c:v>Bukhara</c:v>
                </c:pt>
                <c:pt idx="3">
                  <c:v>Jizzakh</c:v>
                </c:pt>
                <c:pt idx="4">
                  <c:v>Qarshi</c:v>
                </c:pt>
                <c:pt idx="5">
                  <c:v>Navoi</c:v>
                </c:pt>
                <c:pt idx="6">
                  <c:v>Namangan</c:v>
                </c:pt>
                <c:pt idx="7">
                  <c:v>Samarkand</c:v>
                </c:pt>
                <c:pt idx="8">
                  <c:v>Termiz</c:v>
                </c:pt>
                <c:pt idx="9">
                  <c:v>Gulistan</c:v>
                </c:pt>
                <c:pt idx="10">
                  <c:v>Nurafshon</c:v>
                </c:pt>
                <c:pt idx="11">
                  <c:v>Fergana </c:v>
                </c:pt>
                <c:pt idx="12">
                  <c:v>Urgench</c:v>
                </c:pt>
                <c:pt idx="13">
                  <c:v>Tashkent</c:v>
                </c:pt>
              </c:strCache>
            </c:strRef>
          </c:cat>
          <c:val>
            <c:numRef>
              <c:f>'Population Data'!$J$63:$J$76</c:f>
              <c:numCache>
                <c:formatCode>0.0</c:formatCode>
                <c:ptCount val="14"/>
                <c:pt idx="0">
                  <c:v>865.35094456429636</c:v>
                </c:pt>
                <c:pt idx="1">
                  <c:v>917.83638292281796</c:v>
                </c:pt>
                <c:pt idx="2">
                  <c:v>1135.4842711623419</c:v>
                </c:pt>
                <c:pt idx="3">
                  <c:v>948.01356692572131</c:v>
                </c:pt>
                <c:pt idx="4">
                  <c:v>787.2736921378953</c:v>
                </c:pt>
                <c:pt idx="5">
                  <c:v>4816.2810151369986</c:v>
                </c:pt>
                <c:pt idx="6">
                  <c:v>745.6306891849905</c:v>
                </c:pt>
                <c:pt idx="7">
                  <c:v>883.9463565811169</c:v>
                </c:pt>
                <c:pt idx="8">
                  <c:v>633.91199083108768</c:v>
                </c:pt>
                <c:pt idx="9">
                  <c:v>1112.5671474502119</c:v>
                </c:pt>
                <c:pt idx="10">
                  <c:v>1972.3034240083095</c:v>
                </c:pt>
                <c:pt idx="11">
                  <c:v>810.18756759174437</c:v>
                </c:pt>
                <c:pt idx="12">
                  <c:v>823.90626203883278</c:v>
                </c:pt>
                <c:pt idx="13">
                  <c:v>3323.1330107245617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2-054D-B2B2-18DA2288D4DE}"/>
            </c:ext>
          </c:extLst>
        </c:ser>
        <c:ser>
          <c:idx val="1"/>
          <c:order val="1"/>
          <c:tx>
            <c:strRef>
              <c:f>'Population Data'!$K$62</c:f>
              <c:strCache>
                <c:ptCount val="1"/>
                <c:pt idx="0">
                  <c:v> Regional GDP per Capita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'Population Data'!$I$63:$I$76</c:f>
              <c:strCache>
                <c:ptCount val="14"/>
                <c:pt idx="0">
                  <c:v>Nukus</c:v>
                </c:pt>
                <c:pt idx="1">
                  <c:v>Andijan</c:v>
                </c:pt>
                <c:pt idx="2">
                  <c:v>Bukhara</c:v>
                </c:pt>
                <c:pt idx="3">
                  <c:v>Jizzakh</c:v>
                </c:pt>
                <c:pt idx="4">
                  <c:v>Qarshi</c:v>
                </c:pt>
                <c:pt idx="5">
                  <c:v>Navoi</c:v>
                </c:pt>
                <c:pt idx="6">
                  <c:v>Namangan</c:v>
                </c:pt>
                <c:pt idx="7">
                  <c:v>Samarkand</c:v>
                </c:pt>
                <c:pt idx="8">
                  <c:v>Termiz</c:v>
                </c:pt>
                <c:pt idx="9">
                  <c:v>Gulistan</c:v>
                </c:pt>
                <c:pt idx="10">
                  <c:v>Nurafshon</c:v>
                </c:pt>
                <c:pt idx="11">
                  <c:v>Fergana </c:v>
                </c:pt>
                <c:pt idx="12">
                  <c:v>Urgench</c:v>
                </c:pt>
                <c:pt idx="13">
                  <c:v>Tashkent</c:v>
                </c:pt>
              </c:strCache>
            </c:strRef>
          </c:cat>
          <c:val>
            <c:numRef>
              <c:f>'Population Data'!$K$63:$K$76</c:f>
              <c:numCache>
                <c:formatCode>General</c:formatCode>
                <c:ptCount val="14"/>
                <c:pt idx="0">
                  <c:v>745.60653503730509</c:v>
                </c:pt>
                <c:pt idx="1">
                  <c:v>910.10052843115329</c:v>
                </c:pt>
                <c:pt idx="2">
                  <c:v>1173.869814082851</c:v>
                </c:pt>
                <c:pt idx="3">
                  <c:v>988.95636023964244</c:v>
                </c:pt>
                <c:pt idx="4">
                  <c:v>792.58400497120226</c:v>
                </c:pt>
                <c:pt idx="5">
                  <c:v>4210.4038946909686</c:v>
                </c:pt>
                <c:pt idx="6">
                  <c:v>712.09119394994798</c:v>
                </c:pt>
                <c:pt idx="7">
                  <c:v>822.5052168801684</c:v>
                </c:pt>
                <c:pt idx="8">
                  <c:v>702.94077492912788</c:v>
                </c:pt>
                <c:pt idx="9">
                  <c:v>1107.2523362362781</c:v>
                </c:pt>
                <c:pt idx="10">
                  <c:v>1779.5754073881708</c:v>
                </c:pt>
                <c:pt idx="11">
                  <c:v>786.74263700887991</c:v>
                </c:pt>
                <c:pt idx="12">
                  <c:v>854.67454568343658</c:v>
                </c:pt>
                <c:pt idx="13">
                  <c:v>3323.1327472903467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A2-054D-B2B2-18DA2288D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86122592"/>
        <c:axId val="386254800"/>
      </c:barChart>
      <c:catAx>
        <c:axId val="38612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254800"/>
        <c:crosses val="autoZero"/>
        <c:auto val="1"/>
        <c:lblAlgn val="ctr"/>
        <c:lblOffset val="100"/>
        <c:noMultiLvlLbl val="0"/>
      </c:catAx>
      <c:valAx>
        <c:axId val="38625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12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Population distribution</a:t>
            </a:r>
            <a:br>
              <a:rPr lang="en-US"/>
            </a:br>
            <a:r>
              <a:rPr lang="en-US"/>
              <a:t>-</a:t>
            </a:r>
            <a:r>
              <a:rPr lang="en-US" baseline="0"/>
              <a:t> city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Data'!$F$62</c:f>
              <c:strCache>
                <c:ptCount val="1"/>
                <c:pt idx="0">
                  <c:v> City Population (thousands) 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'Population Data'!$E$63:$E$76</c:f>
              <c:strCache>
                <c:ptCount val="14"/>
                <c:pt idx="0">
                  <c:v>Nukus</c:v>
                </c:pt>
                <c:pt idx="1">
                  <c:v>Andijan</c:v>
                </c:pt>
                <c:pt idx="2">
                  <c:v>Bukhara</c:v>
                </c:pt>
                <c:pt idx="3">
                  <c:v>Jizzakh</c:v>
                </c:pt>
                <c:pt idx="4">
                  <c:v>Qarshi</c:v>
                </c:pt>
                <c:pt idx="5">
                  <c:v>Navoi</c:v>
                </c:pt>
                <c:pt idx="6">
                  <c:v>Namangan</c:v>
                </c:pt>
                <c:pt idx="7">
                  <c:v>Samarkand</c:v>
                </c:pt>
                <c:pt idx="8">
                  <c:v>Termiz</c:v>
                </c:pt>
                <c:pt idx="9">
                  <c:v>Gulistan</c:v>
                </c:pt>
                <c:pt idx="10">
                  <c:v>Nurafshon</c:v>
                </c:pt>
                <c:pt idx="11">
                  <c:v>Fergana </c:v>
                </c:pt>
                <c:pt idx="12">
                  <c:v>Urgench</c:v>
                </c:pt>
                <c:pt idx="13">
                  <c:v>Tashkent</c:v>
                </c:pt>
              </c:strCache>
            </c:strRef>
          </c:cat>
          <c:val>
            <c:numRef>
              <c:f>'Population Data'!$F$63:$F$76</c:f>
              <c:numCache>
                <c:formatCode>0.0</c:formatCode>
                <c:ptCount val="14"/>
                <c:pt idx="0">
                  <c:v>339.2</c:v>
                </c:pt>
                <c:pt idx="1">
                  <c:v>480.8</c:v>
                </c:pt>
                <c:pt idx="2">
                  <c:v>269.5</c:v>
                </c:pt>
                <c:pt idx="3">
                  <c:v>195.8</c:v>
                </c:pt>
                <c:pt idx="4">
                  <c:v>295.60000000000002</c:v>
                </c:pt>
                <c:pt idx="5">
                  <c:v>161.30000000000001</c:v>
                </c:pt>
                <c:pt idx="6">
                  <c:v>696.5</c:v>
                </c:pt>
                <c:pt idx="7">
                  <c:v>585.20000000000005</c:v>
                </c:pt>
                <c:pt idx="8">
                  <c:v>201.6</c:v>
                </c:pt>
                <c:pt idx="9">
                  <c:v>77.3</c:v>
                </c:pt>
                <c:pt idx="10">
                  <c:v>56.2</c:v>
                </c:pt>
                <c:pt idx="11">
                  <c:v>321.8</c:v>
                </c:pt>
                <c:pt idx="12">
                  <c:v>153.1</c:v>
                </c:pt>
                <c:pt idx="13">
                  <c:v>3058.4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B-0445-99F9-82C81FCAF3B4}"/>
            </c:ext>
          </c:extLst>
        </c:ser>
        <c:ser>
          <c:idx val="1"/>
          <c:order val="1"/>
          <c:tx>
            <c:strRef>
              <c:f>'Population Data'!$G$62</c:f>
              <c:strCache>
                <c:ptCount val="1"/>
                <c:pt idx="0">
                  <c:v> Region Population (thousands) 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'Population Data'!$E$63:$E$76</c:f>
              <c:strCache>
                <c:ptCount val="14"/>
                <c:pt idx="0">
                  <c:v>Nukus</c:v>
                </c:pt>
                <c:pt idx="1">
                  <c:v>Andijan</c:v>
                </c:pt>
                <c:pt idx="2">
                  <c:v>Bukhara</c:v>
                </c:pt>
                <c:pt idx="3">
                  <c:v>Jizzakh</c:v>
                </c:pt>
                <c:pt idx="4">
                  <c:v>Qarshi</c:v>
                </c:pt>
                <c:pt idx="5">
                  <c:v>Navoi</c:v>
                </c:pt>
                <c:pt idx="6">
                  <c:v>Namangan</c:v>
                </c:pt>
                <c:pt idx="7">
                  <c:v>Samarkand</c:v>
                </c:pt>
                <c:pt idx="8">
                  <c:v>Termiz</c:v>
                </c:pt>
                <c:pt idx="9">
                  <c:v>Gulistan</c:v>
                </c:pt>
                <c:pt idx="10">
                  <c:v>Nurafshon</c:v>
                </c:pt>
                <c:pt idx="11">
                  <c:v>Fergana </c:v>
                </c:pt>
                <c:pt idx="12">
                  <c:v>Urgench</c:v>
                </c:pt>
                <c:pt idx="13">
                  <c:v>Tashkent</c:v>
                </c:pt>
              </c:strCache>
            </c:strRef>
          </c:cat>
          <c:val>
            <c:numRef>
              <c:f>'Population Data'!$G$63:$G$76</c:f>
              <c:numCache>
                <c:formatCode>0.0</c:formatCode>
                <c:ptCount val="14"/>
                <c:pt idx="0">
                  <c:v>2008.8</c:v>
                </c:pt>
                <c:pt idx="1">
                  <c:v>3409</c:v>
                </c:pt>
                <c:pt idx="2">
                  <c:v>2050.6</c:v>
                </c:pt>
                <c:pt idx="3">
                  <c:v>1514.5</c:v>
                </c:pt>
                <c:pt idx="4">
                  <c:v>3577</c:v>
                </c:pt>
                <c:pt idx="5">
                  <c:v>1079.9000000000001</c:v>
                </c:pt>
                <c:pt idx="6">
                  <c:v>3079.9</c:v>
                </c:pt>
                <c:pt idx="7">
                  <c:v>4227.3</c:v>
                </c:pt>
                <c:pt idx="8">
                  <c:v>2891.7</c:v>
                </c:pt>
                <c:pt idx="9">
                  <c:v>917.9</c:v>
                </c:pt>
                <c:pt idx="10">
                  <c:v>3066</c:v>
                </c:pt>
                <c:pt idx="11">
                  <c:v>4079.5</c:v>
                </c:pt>
                <c:pt idx="12">
                  <c:v>2002.8</c:v>
                </c:pt>
                <c:pt idx="13">
                  <c:v>3058.4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B-0445-99F9-82C81FCAF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86315168"/>
        <c:axId val="386323752"/>
      </c:barChart>
      <c:catAx>
        <c:axId val="3863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323752"/>
        <c:crosses val="autoZero"/>
        <c:auto val="1"/>
        <c:lblAlgn val="ctr"/>
        <c:lblOffset val="100"/>
        <c:noMultiLvlLbl val="0"/>
      </c:catAx>
      <c:valAx>
        <c:axId val="38632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3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410634</xdr:colOff>
      <xdr:row>0</xdr:row>
      <xdr:rowOff>84667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368300</xdr:colOff>
      <xdr:row>18</xdr:row>
      <xdr:rowOff>169333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182880</xdr:colOff>
      <xdr:row>51</xdr:row>
      <xdr:rowOff>50800</xdr:rowOff>
    </xdr:from>
    <xdr:to>
      <xdr:col>18</xdr:col>
      <xdr:colOff>60960</xdr:colOff>
      <xdr:row>65</xdr:row>
      <xdr:rowOff>91440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6B9DD3-9AD8-A0F9-6222-3097CBAAF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182880</xdr:colOff>
      <xdr:row>66</xdr:row>
      <xdr:rowOff>20320</xdr:rowOff>
    </xdr:from>
    <xdr:to>
      <xdr:col>18</xdr:col>
      <xdr:colOff>60960</xdr:colOff>
      <xdr:row>80</xdr:row>
      <xdr:rowOff>60960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BC8AFB-4008-3DDD-F6BC-DD3173717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z/en/press-center/news-of-committee/63476-ajsi-udud-a-olisi-soni-eng-tez-smo-da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zoomScale="85" zoomScaleNormal="85" workbookViewId="0">
      <selection activeCell="E26" sqref="E26:E41"/>
    </sheetView>
  </sheetViews>
  <sheetFormatPr baseColWidth="10" defaultColWidth="8.83203125" defaultRowHeight="15" x14ac:dyDescent="0.2"/>
  <cols>
    <col min="1" max="1" width="21.6640625" customWidth="1"/>
    <col min="2" max="2" width="26.33203125" customWidth="1"/>
    <col min="3" max="3" width="5.1640625" customWidth="1"/>
    <col min="4" max="4" width="3.5" customWidth="1"/>
    <col min="6" max="6" width="13.5" customWidth="1"/>
    <col min="7" max="7" width="14.1640625" customWidth="1"/>
    <col min="8" max="8" width="9.83203125" customWidth="1"/>
    <col min="9" max="9" width="10.6640625" bestFit="1" customWidth="1"/>
    <col min="10" max="10" width="11.1640625" style="7" bestFit="1" customWidth="1"/>
  </cols>
  <sheetData>
    <row r="1" spans="1:15" ht="19" x14ac:dyDescent="0.25">
      <c r="A1" s="6" t="s">
        <v>0</v>
      </c>
      <c r="B1" s="7"/>
      <c r="C1" s="7"/>
      <c r="D1" s="7"/>
      <c r="E1" s="7" t="s">
        <v>23</v>
      </c>
      <c r="G1" s="7"/>
    </row>
    <row r="2" spans="1:15" x14ac:dyDescent="0.2">
      <c r="A2" s="7" t="s">
        <v>1</v>
      </c>
      <c r="B2" s="7" t="s">
        <v>2</v>
      </c>
      <c r="C2" s="7"/>
      <c r="D2" s="7"/>
      <c r="E2" s="7"/>
      <c r="F2" s="7" t="s">
        <v>50</v>
      </c>
      <c r="G2" s="7" t="s">
        <v>43</v>
      </c>
      <c r="H2" s="7" t="s">
        <v>27</v>
      </c>
      <c r="I2" s="7" t="s">
        <v>52</v>
      </c>
      <c r="J2" s="7" t="s">
        <v>51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49</v>
      </c>
    </row>
    <row r="3" spans="1:15" x14ac:dyDescent="0.2">
      <c r="A3" s="7" t="s">
        <v>3</v>
      </c>
      <c r="B3" s="7">
        <v>2008.8</v>
      </c>
      <c r="C3" s="7"/>
      <c r="D3" s="7"/>
      <c r="E3" s="7">
        <v>2.8</v>
      </c>
      <c r="F3" s="7">
        <f>(((E3*100)/$E$18))*$A$19/100</f>
        <v>1497.7744075829385</v>
      </c>
      <c r="G3" s="7" t="s">
        <v>28</v>
      </c>
      <c r="H3" s="7">
        <v>339.2</v>
      </c>
      <c r="I3" s="7">
        <f>(H3/B3)*F3*(K3*$B$24+L3*$B$25+M3*$B$26+N3*$B$27)/100</f>
        <v>293.52704039620932</v>
      </c>
      <c r="J3" s="7">
        <f>I3/H3*1000</f>
        <v>865.35094456429636</v>
      </c>
      <c r="K3">
        <v>18.600000000000001</v>
      </c>
      <c r="L3">
        <v>24.9</v>
      </c>
      <c r="M3" s="7">
        <v>8.3000000000000007</v>
      </c>
      <c r="N3" s="7">
        <v>48.2</v>
      </c>
      <c r="O3">
        <f>SUM(K3:N3)</f>
        <v>100</v>
      </c>
    </row>
    <row r="4" spans="1:15" x14ac:dyDescent="0.2">
      <c r="A4" s="7" t="s">
        <v>4</v>
      </c>
      <c r="B4" s="7">
        <v>3409</v>
      </c>
      <c r="C4" s="7"/>
      <c r="D4" s="7"/>
      <c r="E4" s="7">
        <v>5.8</v>
      </c>
      <c r="F4" s="7">
        <f t="shared" ref="F4:F16" si="0">(((E4*100)/$E$18))*$A$19/100</f>
        <v>3102.5327014218014</v>
      </c>
      <c r="G4" s="7" t="s">
        <v>29</v>
      </c>
      <c r="H4" s="7">
        <v>480.8</v>
      </c>
      <c r="I4" s="7">
        <f t="shared" ref="I4:I15" si="1">(H4/B4)*F4*(K4*$B$24+L4*$B$25+M4*$B$26+N4*$B$27)/100</f>
        <v>441.2957329092909</v>
      </c>
      <c r="J4" s="7">
        <f t="shared" ref="J4:J17" si="2">I4/H4*1000</f>
        <v>917.83638292281796</v>
      </c>
      <c r="K4">
        <v>31.6</v>
      </c>
      <c r="L4">
        <v>29.1</v>
      </c>
      <c r="M4" s="7">
        <v>5</v>
      </c>
      <c r="N4" s="7">
        <v>34.299999999999997</v>
      </c>
      <c r="O4">
        <f t="shared" ref="O4:O17" si="3">SUM(K4:N4)</f>
        <v>100</v>
      </c>
    </row>
    <row r="5" spans="1:15" x14ac:dyDescent="0.2">
      <c r="A5" s="7" t="s">
        <v>5</v>
      </c>
      <c r="B5" s="7">
        <v>2050.6</v>
      </c>
      <c r="C5" s="7"/>
      <c r="D5" s="7"/>
      <c r="E5" s="7">
        <v>4.5</v>
      </c>
      <c r="F5" s="7">
        <f t="shared" si="0"/>
        <v>2407.1374407582939</v>
      </c>
      <c r="G5" s="7" t="s">
        <v>30</v>
      </c>
      <c r="H5" s="7">
        <v>269.5</v>
      </c>
      <c r="I5" s="7">
        <f t="shared" si="1"/>
        <v>306.01301107825111</v>
      </c>
      <c r="J5" s="7">
        <f t="shared" si="2"/>
        <v>1135.4842711623419</v>
      </c>
      <c r="K5">
        <v>35.200000000000003</v>
      </c>
      <c r="L5">
        <v>20.100000000000001</v>
      </c>
      <c r="M5" s="7">
        <v>10</v>
      </c>
      <c r="N5" s="7">
        <v>34.700000000000003</v>
      </c>
      <c r="O5">
        <f t="shared" si="3"/>
        <v>100.00000000000001</v>
      </c>
    </row>
    <row r="6" spans="1:15" x14ac:dyDescent="0.2">
      <c r="A6" s="7" t="s">
        <v>6</v>
      </c>
      <c r="B6" s="7">
        <v>1514.5</v>
      </c>
      <c r="C6" s="7"/>
      <c r="D6" s="7"/>
      <c r="E6" s="7">
        <v>2.8</v>
      </c>
      <c r="F6" s="7">
        <f t="shared" si="0"/>
        <v>1497.7744075829385</v>
      </c>
      <c r="G6" s="7" t="s">
        <v>31</v>
      </c>
      <c r="H6" s="7">
        <v>195.8</v>
      </c>
      <c r="I6" s="7">
        <f t="shared" si="1"/>
        <v>185.62105640405625</v>
      </c>
      <c r="J6" s="7">
        <f t="shared" si="2"/>
        <v>948.01356692572131</v>
      </c>
      <c r="K6">
        <v>37.5</v>
      </c>
      <c r="L6">
        <v>20.3</v>
      </c>
      <c r="M6" s="7">
        <v>6.1</v>
      </c>
      <c r="N6" s="7">
        <v>36.1</v>
      </c>
      <c r="O6">
        <f t="shared" si="3"/>
        <v>100</v>
      </c>
    </row>
    <row r="7" spans="1:15" x14ac:dyDescent="0.2">
      <c r="A7" s="7" t="s">
        <v>7</v>
      </c>
      <c r="B7" s="7">
        <v>3577</v>
      </c>
      <c r="C7" s="7"/>
      <c r="D7" s="7"/>
      <c r="E7" s="7">
        <v>5.3</v>
      </c>
      <c r="F7" s="7">
        <f t="shared" si="0"/>
        <v>2835.0729857819906</v>
      </c>
      <c r="G7" s="7" t="s">
        <v>32</v>
      </c>
      <c r="H7" s="7">
        <v>295.60000000000002</v>
      </c>
      <c r="I7" s="7">
        <f t="shared" si="1"/>
        <v>232.71810339596189</v>
      </c>
      <c r="J7" s="7">
        <f t="shared" si="2"/>
        <v>787.2736921378953</v>
      </c>
      <c r="K7">
        <v>34.200000000000003</v>
      </c>
      <c r="L7">
        <v>20.100000000000001</v>
      </c>
      <c r="M7" s="7">
        <v>7.2</v>
      </c>
      <c r="N7" s="7">
        <v>38.5</v>
      </c>
      <c r="O7">
        <f t="shared" si="3"/>
        <v>100</v>
      </c>
    </row>
    <row r="8" spans="1:15" x14ac:dyDescent="0.2">
      <c r="A8" s="7" t="s">
        <v>8</v>
      </c>
      <c r="B8" s="7">
        <v>1079.9000000000001</v>
      </c>
      <c r="C8" s="7"/>
      <c r="D8" s="7"/>
      <c r="E8" s="7">
        <v>8.5</v>
      </c>
      <c r="F8" s="7">
        <f t="shared" si="0"/>
        <v>4546.8151658767774</v>
      </c>
      <c r="G8" s="7" t="s">
        <v>33</v>
      </c>
      <c r="H8" s="7">
        <v>161.30000000000001</v>
      </c>
      <c r="I8" s="7">
        <f t="shared" si="1"/>
        <v>776.86612774159789</v>
      </c>
      <c r="J8" s="7">
        <f t="shared" si="2"/>
        <v>4816.2810151369986</v>
      </c>
      <c r="K8">
        <v>9.4</v>
      </c>
      <c r="L8">
        <v>75.099999999999994</v>
      </c>
      <c r="M8" s="7">
        <v>3.6</v>
      </c>
      <c r="N8" s="7">
        <v>11.9</v>
      </c>
      <c r="O8">
        <f t="shared" si="3"/>
        <v>100</v>
      </c>
    </row>
    <row r="9" spans="1:15" x14ac:dyDescent="0.2">
      <c r="A9" s="7" t="s">
        <v>9</v>
      </c>
      <c r="B9" s="7">
        <v>3079.9</v>
      </c>
      <c r="C9" s="7"/>
      <c r="D9" s="7"/>
      <c r="E9" s="7">
        <v>4.0999999999999996</v>
      </c>
      <c r="F9" s="7">
        <f t="shared" si="0"/>
        <v>2193.1696682464449</v>
      </c>
      <c r="G9" s="7" t="s">
        <v>34</v>
      </c>
      <c r="H9" s="7">
        <v>696.5</v>
      </c>
      <c r="I9" s="7">
        <f t="shared" si="1"/>
        <v>519.33177501734588</v>
      </c>
      <c r="J9" s="7">
        <f t="shared" si="2"/>
        <v>745.6306891849905</v>
      </c>
      <c r="K9">
        <v>30.3</v>
      </c>
      <c r="L9">
        <v>18.600000000000001</v>
      </c>
      <c r="M9" s="7">
        <v>6.7</v>
      </c>
      <c r="N9" s="7">
        <v>44.4</v>
      </c>
      <c r="O9">
        <f t="shared" si="3"/>
        <v>100</v>
      </c>
    </row>
    <row r="10" spans="1:15" x14ac:dyDescent="0.2">
      <c r="A10" s="7" t="s">
        <v>10</v>
      </c>
      <c r="B10" s="7">
        <v>4227.3</v>
      </c>
      <c r="C10" s="7"/>
      <c r="D10" s="7"/>
      <c r="E10" s="7">
        <v>6.5</v>
      </c>
      <c r="F10" s="7">
        <f t="shared" si="0"/>
        <v>3476.9763033175359</v>
      </c>
      <c r="G10" s="7" t="s">
        <v>35</v>
      </c>
      <c r="H10" s="7">
        <v>585.20000000000005</v>
      </c>
      <c r="I10" s="7">
        <f t="shared" si="1"/>
        <v>517.28540787126963</v>
      </c>
      <c r="J10" s="7">
        <f t="shared" si="2"/>
        <v>883.9463565811169</v>
      </c>
      <c r="K10">
        <v>28.6</v>
      </c>
      <c r="L10">
        <v>17.7</v>
      </c>
      <c r="M10" s="7">
        <v>5.8</v>
      </c>
      <c r="N10" s="7">
        <v>47.9</v>
      </c>
      <c r="O10">
        <f t="shared" si="3"/>
        <v>100</v>
      </c>
    </row>
    <row r="11" spans="1:15" x14ac:dyDescent="0.2">
      <c r="A11" s="7" t="s">
        <v>11</v>
      </c>
      <c r="B11" s="7">
        <v>2891.7</v>
      </c>
      <c r="C11" s="7"/>
      <c r="D11" s="7"/>
      <c r="E11" s="7">
        <v>3.8</v>
      </c>
      <c r="F11" s="7">
        <f t="shared" si="0"/>
        <v>2032.693838862559</v>
      </c>
      <c r="G11" s="7" t="s">
        <v>36</v>
      </c>
      <c r="H11" s="7">
        <v>201.6</v>
      </c>
      <c r="I11" s="7">
        <f t="shared" si="1"/>
        <v>127.79665735154725</v>
      </c>
      <c r="J11" s="7">
        <f t="shared" si="2"/>
        <v>633.91199083108768</v>
      </c>
      <c r="K11">
        <v>44.4</v>
      </c>
      <c r="L11">
        <v>8.3000000000000007</v>
      </c>
      <c r="M11" s="7">
        <v>8.1</v>
      </c>
      <c r="N11" s="7">
        <v>39.200000000000003</v>
      </c>
      <c r="O11">
        <f t="shared" si="3"/>
        <v>100</v>
      </c>
    </row>
    <row r="12" spans="1:15" x14ac:dyDescent="0.2">
      <c r="A12" s="7" t="s">
        <v>12</v>
      </c>
      <c r="B12" s="7">
        <v>917.9</v>
      </c>
      <c r="C12" s="7"/>
      <c r="D12" s="7"/>
      <c r="E12" s="7">
        <v>1.9</v>
      </c>
      <c r="F12" s="7">
        <f t="shared" si="0"/>
        <v>1016.3469194312795</v>
      </c>
      <c r="G12" s="7" t="s">
        <v>37</v>
      </c>
      <c r="H12" s="7">
        <v>77.3</v>
      </c>
      <c r="I12" s="7">
        <f t="shared" si="1"/>
        <v>86.001440497901385</v>
      </c>
      <c r="J12" s="7">
        <f t="shared" si="2"/>
        <v>1112.5671474502119</v>
      </c>
      <c r="K12">
        <v>30.3</v>
      </c>
      <c r="L12">
        <v>32.700000000000003</v>
      </c>
      <c r="M12" s="7">
        <v>6.7</v>
      </c>
      <c r="N12" s="7">
        <v>30.3</v>
      </c>
      <c r="O12">
        <f t="shared" si="3"/>
        <v>100</v>
      </c>
    </row>
    <row r="13" spans="1:15" x14ac:dyDescent="0.2">
      <c r="A13" s="7" t="s">
        <v>13</v>
      </c>
      <c r="B13" s="7">
        <v>3066</v>
      </c>
      <c r="C13" s="7"/>
      <c r="D13" s="7"/>
      <c r="E13" s="7">
        <v>10.199999999999999</v>
      </c>
      <c r="F13" s="7">
        <f t="shared" si="0"/>
        <v>5456.1781990521322</v>
      </c>
      <c r="G13" s="11" t="s">
        <v>13</v>
      </c>
      <c r="H13" s="11">
        <v>3066</v>
      </c>
      <c r="I13" s="7">
        <v>5456.1781990521322</v>
      </c>
      <c r="J13" s="12">
        <f t="shared" si="2"/>
        <v>1779.5754073881708</v>
      </c>
      <c r="K13" s="13">
        <v>17.8</v>
      </c>
      <c r="L13" s="13">
        <v>49.2</v>
      </c>
      <c r="M13" s="12">
        <v>6.1</v>
      </c>
      <c r="N13" s="12">
        <v>26.9</v>
      </c>
      <c r="O13" s="13">
        <f t="shared" si="3"/>
        <v>100</v>
      </c>
    </row>
    <row r="14" spans="1:15" x14ac:dyDescent="0.2">
      <c r="A14" s="7" t="s">
        <v>14</v>
      </c>
      <c r="B14" s="7">
        <v>4079.5</v>
      </c>
      <c r="C14" s="7"/>
      <c r="D14" s="7"/>
      <c r="E14" s="7">
        <v>6</v>
      </c>
      <c r="F14" s="7">
        <f t="shared" si="0"/>
        <v>3209.5165876777255</v>
      </c>
      <c r="G14" s="7" t="s">
        <v>38</v>
      </c>
      <c r="H14" s="7">
        <v>321.8</v>
      </c>
      <c r="I14" s="7">
        <f t="shared" si="1"/>
        <v>260.71835925102334</v>
      </c>
      <c r="J14" s="7">
        <f t="shared" si="2"/>
        <v>810.18756759174437</v>
      </c>
      <c r="K14">
        <v>31.4</v>
      </c>
      <c r="L14">
        <v>20.3</v>
      </c>
      <c r="M14" s="7">
        <v>6.5</v>
      </c>
      <c r="N14" s="7">
        <v>41.8</v>
      </c>
      <c r="O14">
        <f t="shared" si="3"/>
        <v>100</v>
      </c>
    </row>
    <row r="15" spans="1:15" x14ac:dyDescent="0.2">
      <c r="A15" s="7" t="s">
        <v>15</v>
      </c>
      <c r="B15" s="7">
        <v>2002.8</v>
      </c>
      <c r="C15" s="7"/>
      <c r="D15" s="7"/>
      <c r="E15" s="7">
        <v>3.2</v>
      </c>
      <c r="F15" s="7">
        <f t="shared" si="0"/>
        <v>1711.7421800947868</v>
      </c>
      <c r="G15" s="7" t="s">
        <v>40</v>
      </c>
      <c r="H15" s="7">
        <v>153.1</v>
      </c>
      <c r="I15" s="7">
        <f t="shared" si="1"/>
        <v>126.14004871814529</v>
      </c>
      <c r="J15" s="7">
        <f t="shared" si="2"/>
        <v>823.90626203883278</v>
      </c>
      <c r="K15">
        <v>37.200000000000003</v>
      </c>
      <c r="L15">
        <v>18.2</v>
      </c>
      <c r="M15" s="7">
        <v>7</v>
      </c>
      <c r="N15" s="7">
        <v>37.6</v>
      </c>
      <c r="O15">
        <f t="shared" si="3"/>
        <v>100</v>
      </c>
    </row>
    <row r="16" spans="1:15" x14ac:dyDescent="0.2">
      <c r="A16" s="7" t="s">
        <v>16</v>
      </c>
      <c r="B16" s="7">
        <v>3058.4</v>
      </c>
      <c r="C16" s="7"/>
      <c r="D16" s="7"/>
      <c r="E16" s="7">
        <v>19</v>
      </c>
      <c r="F16" s="7">
        <f t="shared" si="0"/>
        <v>10163.469194312796</v>
      </c>
      <c r="G16" s="7" t="s">
        <v>41</v>
      </c>
      <c r="H16" s="7">
        <v>3058.4</v>
      </c>
      <c r="I16" s="14">
        <v>10163.469999999999</v>
      </c>
      <c r="J16" s="7">
        <f t="shared" si="2"/>
        <v>3323.1330107245617</v>
      </c>
      <c r="K16">
        <v>0</v>
      </c>
      <c r="L16">
        <v>29.6</v>
      </c>
      <c r="M16" s="7">
        <v>8.1999999999999993</v>
      </c>
      <c r="N16" s="7">
        <v>62.2</v>
      </c>
      <c r="O16">
        <f t="shared" si="3"/>
        <v>100</v>
      </c>
    </row>
    <row r="17" spans="1:15" x14ac:dyDescent="0.2">
      <c r="A17" s="7"/>
      <c r="B17" s="7"/>
      <c r="C17" s="7"/>
      <c r="D17" s="7"/>
      <c r="G17" s="7" t="s">
        <v>39</v>
      </c>
      <c r="H17" s="7">
        <v>56.2</v>
      </c>
      <c r="I17" s="7">
        <f>(H17/B13)*F13*(K17*$B$24+L17*$B$25+M17*$B$26+N17*$B$27)/100</f>
        <v>110.843452429267</v>
      </c>
      <c r="J17" s="7">
        <f t="shared" si="2"/>
        <v>1972.3034240083095</v>
      </c>
      <c r="K17">
        <v>17.8</v>
      </c>
      <c r="L17">
        <v>49.2</v>
      </c>
      <c r="M17" s="7">
        <v>6.1</v>
      </c>
      <c r="N17" s="7">
        <v>26.9</v>
      </c>
      <c r="O17">
        <f t="shared" si="3"/>
        <v>100</v>
      </c>
    </row>
    <row r="18" spans="1:15" x14ac:dyDescent="0.2">
      <c r="A18" s="7"/>
      <c r="B18" s="7"/>
      <c r="C18" s="7"/>
      <c r="D18" s="7" t="s">
        <v>48</v>
      </c>
      <c r="E18" s="7">
        <f>SUM(E3:E16)</f>
        <v>84.399999999999991</v>
      </c>
      <c r="F18" s="8">
        <f>SUM(F3:F16)</f>
        <v>45147.200000000004</v>
      </c>
      <c r="G18" s="7"/>
      <c r="H18" s="8">
        <f>SUM(H3:H17)-H13</f>
        <v>6892.3000000000011</v>
      </c>
      <c r="I18" s="16">
        <f>SUM(I3:I17)-I13</f>
        <v>14147.628213061866</v>
      </c>
      <c r="J18" s="17">
        <f>I18/A19</f>
        <v>0.31336668083650515</v>
      </c>
    </row>
    <row r="19" spans="1:15" x14ac:dyDescent="0.2">
      <c r="A19" s="9">
        <v>45147.199999999997</v>
      </c>
      <c r="B19" s="7" t="s">
        <v>26</v>
      </c>
      <c r="C19" s="7"/>
      <c r="D19" s="7"/>
      <c r="E19" s="7"/>
      <c r="F19" s="7"/>
      <c r="G19" s="7" t="s">
        <v>57</v>
      </c>
      <c r="H19" s="9">
        <f>H18/37000*100</f>
        <v>18.627837837837841</v>
      </c>
      <c r="I19" s="10" t="s">
        <v>42</v>
      </c>
      <c r="J19" s="7">
        <f>SUM(J3:J17)</f>
        <v>21555.4017286491</v>
      </c>
    </row>
    <row r="20" spans="1:15" x14ac:dyDescent="0.2">
      <c r="A20" s="9">
        <v>1221.3</v>
      </c>
      <c r="B20" s="7" t="s">
        <v>24</v>
      </c>
      <c r="C20" s="7"/>
      <c r="D20" s="7"/>
      <c r="E20" s="7"/>
      <c r="F20" s="7"/>
      <c r="G20" s="7" t="s">
        <v>58</v>
      </c>
      <c r="H20" s="7"/>
      <c r="I20" s="7"/>
    </row>
    <row r="21" spans="1:15" x14ac:dyDescent="0.2">
      <c r="A21" s="9">
        <v>12567</v>
      </c>
      <c r="B21" s="7" t="s">
        <v>25</v>
      </c>
      <c r="C21" s="7"/>
      <c r="D21" s="7"/>
      <c r="E21" s="7"/>
      <c r="F21" s="7"/>
      <c r="G21" s="7"/>
      <c r="H21" s="7"/>
      <c r="I21" s="7"/>
    </row>
    <row r="23" spans="1:15" x14ac:dyDescent="0.2">
      <c r="H23" t="s">
        <v>70</v>
      </c>
    </row>
    <row r="24" spans="1:15" x14ac:dyDescent="0.2">
      <c r="A24" t="s">
        <v>53</v>
      </c>
      <c r="B24">
        <v>0.3</v>
      </c>
    </row>
    <row r="25" spans="1:15" ht="16" x14ac:dyDescent="0.2">
      <c r="A25" t="s">
        <v>54</v>
      </c>
      <c r="B25">
        <v>1.2</v>
      </c>
      <c r="D25" s="3"/>
    </row>
    <row r="26" spans="1:15" ht="16" x14ac:dyDescent="0.2">
      <c r="A26" t="s">
        <v>55</v>
      </c>
      <c r="B26">
        <v>1</v>
      </c>
      <c r="D26" s="4"/>
      <c r="E26" t="s">
        <v>59</v>
      </c>
      <c r="F26" t="s">
        <v>60</v>
      </c>
      <c r="G26" t="s">
        <v>61</v>
      </c>
      <c r="H26" t="s">
        <v>62</v>
      </c>
      <c r="I26" t="s">
        <v>63</v>
      </c>
      <c r="J26" s="7" t="s">
        <v>64</v>
      </c>
      <c r="K26" t="s">
        <v>65</v>
      </c>
      <c r="L26" t="s">
        <v>66</v>
      </c>
      <c r="M26" t="s">
        <v>67</v>
      </c>
      <c r="N26" t="s">
        <v>68</v>
      </c>
    </row>
    <row r="27" spans="1:15" ht="16" x14ac:dyDescent="0.2">
      <c r="A27" t="s">
        <v>56</v>
      </c>
      <c r="B27">
        <v>1.5</v>
      </c>
      <c r="D27" s="4"/>
      <c r="E27" t="s">
        <v>28</v>
      </c>
      <c r="F27" s="15">
        <v>339.2</v>
      </c>
      <c r="G27" s="15">
        <v>2008.8</v>
      </c>
      <c r="H27" s="15">
        <v>1497.7744075829385</v>
      </c>
      <c r="I27" s="15">
        <v>293.52704039620932</v>
      </c>
      <c r="J27" s="15">
        <v>865.35094456429636</v>
      </c>
      <c r="K27" s="15">
        <v>18.600000000000001</v>
      </c>
      <c r="L27" s="15">
        <v>24.9</v>
      </c>
      <c r="M27" s="15">
        <v>8.3000000000000007</v>
      </c>
      <c r="N27" s="15">
        <v>48.2</v>
      </c>
    </row>
    <row r="28" spans="1:15" ht="16" x14ac:dyDescent="0.2">
      <c r="D28" s="4"/>
      <c r="E28" t="s">
        <v>29</v>
      </c>
      <c r="F28" s="15">
        <v>480.8</v>
      </c>
      <c r="G28" s="15">
        <v>3409</v>
      </c>
      <c r="H28" s="15">
        <v>3102.5327014218014</v>
      </c>
      <c r="I28" s="15">
        <v>441.2957329092909</v>
      </c>
      <c r="J28" s="15">
        <v>917.83638292281796</v>
      </c>
      <c r="K28" s="15">
        <v>31.6</v>
      </c>
      <c r="L28" s="15">
        <v>29.1</v>
      </c>
      <c r="M28" s="15">
        <v>5</v>
      </c>
      <c r="N28" s="15">
        <v>34.299999999999997</v>
      </c>
    </row>
    <row r="29" spans="1:15" ht="16" x14ac:dyDescent="0.2">
      <c r="D29" s="4"/>
      <c r="E29" t="s">
        <v>30</v>
      </c>
      <c r="F29" s="15">
        <v>269.5</v>
      </c>
      <c r="G29" s="15">
        <v>2050.6</v>
      </c>
      <c r="H29" s="15">
        <v>2407.1374407582939</v>
      </c>
      <c r="I29" s="15">
        <v>306.01301107825111</v>
      </c>
      <c r="J29" s="15">
        <v>1135.4842711623419</v>
      </c>
      <c r="K29" s="15">
        <v>35.200000000000003</v>
      </c>
      <c r="L29" s="15">
        <v>20.100000000000001</v>
      </c>
      <c r="M29" s="15">
        <v>10</v>
      </c>
      <c r="N29" s="15">
        <v>34.700000000000003</v>
      </c>
    </row>
    <row r="30" spans="1:15" ht="16" x14ac:dyDescent="0.2">
      <c r="D30" s="4"/>
      <c r="E30" t="s">
        <v>31</v>
      </c>
      <c r="F30" s="15">
        <v>195.8</v>
      </c>
      <c r="G30" s="15">
        <v>1514.5</v>
      </c>
      <c r="H30" s="15">
        <v>1497.7744075829385</v>
      </c>
      <c r="I30" s="15">
        <v>185.62105640405625</v>
      </c>
      <c r="J30" s="15">
        <v>948.01356692572131</v>
      </c>
      <c r="K30" s="15">
        <v>37.5</v>
      </c>
      <c r="L30" s="15">
        <v>20.3</v>
      </c>
      <c r="M30" s="15">
        <v>6.1</v>
      </c>
      <c r="N30" s="15">
        <v>36.1</v>
      </c>
    </row>
    <row r="31" spans="1:15" ht="16" x14ac:dyDescent="0.2">
      <c r="D31" s="4"/>
      <c r="E31" t="s">
        <v>32</v>
      </c>
      <c r="F31" s="15">
        <v>295.60000000000002</v>
      </c>
      <c r="G31" s="15">
        <v>3577</v>
      </c>
      <c r="H31" s="15">
        <v>2835.0729857819906</v>
      </c>
      <c r="I31" s="15">
        <v>232.71810339596189</v>
      </c>
      <c r="J31" s="15">
        <v>787.2736921378953</v>
      </c>
      <c r="K31" s="15">
        <v>34.200000000000003</v>
      </c>
      <c r="L31" s="15">
        <v>20.100000000000001</v>
      </c>
      <c r="M31" s="15">
        <v>7.2</v>
      </c>
      <c r="N31" s="15">
        <v>38.5</v>
      </c>
    </row>
    <row r="32" spans="1:15" ht="16" x14ac:dyDescent="0.2">
      <c r="D32" s="4"/>
      <c r="E32" t="s">
        <v>33</v>
      </c>
      <c r="F32" s="15">
        <v>161.30000000000001</v>
      </c>
      <c r="G32" s="15">
        <v>1079.9000000000001</v>
      </c>
      <c r="H32" s="15">
        <v>4546.8151658767774</v>
      </c>
      <c r="I32" s="15">
        <v>776.86612774159789</v>
      </c>
      <c r="J32" s="15">
        <v>4816.2810151369986</v>
      </c>
      <c r="K32" s="15">
        <v>9.4</v>
      </c>
      <c r="L32" s="15">
        <v>75.099999999999994</v>
      </c>
      <c r="M32" s="15">
        <v>3.6</v>
      </c>
      <c r="N32" s="15">
        <v>11.9</v>
      </c>
    </row>
    <row r="33" spans="4:14" ht="16" x14ac:dyDescent="0.2">
      <c r="D33" s="4"/>
      <c r="E33" t="s">
        <v>34</v>
      </c>
      <c r="F33" s="15">
        <v>696.5</v>
      </c>
      <c r="G33" s="15">
        <v>3079.9</v>
      </c>
      <c r="H33" s="15">
        <v>2193.1696682464449</v>
      </c>
      <c r="I33" s="15">
        <v>519.33177501734588</v>
      </c>
      <c r="J33" s="15">
        <v>745.6306891849905</v>
      </c>
      <c r="K33" s="15">
        <v>30.3</v>
      </c>
      <c r="L33" s="15">
        <v>18.600000000000001</v>
      </c>
      <c r="M33" s="15">
        <v>6.7</v>
      </c>
      <c r="N33" s="15">
        <v>44.4</v>
      </c>
    </row>
    <row r="34" spans="4:14" ht="16" x14ac:dyDescent="0.2">
      <c r="D34" s="4"/>
      <c r="E34" t="s">
        <v>35</v>
      </c>
      <c r="F34" s="15">
        <v>585.20000000000005</v>
      </c>
      <c r="G34" s="15">
        <v>4227.3</v>
      </c>
      <c r="H34" s="15">
        <v>3476.9763033175359</v>
      </c>
      <c r="I34" s="15">
        <v>517.28540787126963</v>
      </c>
      <c r="J34" s="15">
        <v>883.9463565811169</v>
      </c>
      <c r="K34" s="15">
        <v>28.6</v>
      </c>
      <c r="L34" s="15">
        <v>17.7</v>
      </c>
      <c r="M34" s="15">
        <v>5.8</v>
      </c>
      <c r="N34" s="15">
        <v>47.9</v>
      </c>
    </row>
    <row r="35" spans="4:14" ht="16" x14ac:dyDescent="0.2">
      <c r="D35" s="4"/>
      <c r="E35" t="s">
        <v>36</v>
      </c>
      <c r="F35" s="15">
        <v>201.6</v>
      </c>
      <c r="G35" s="15">
        <v>2891.7</v>
      </c>
      <c r="H35" s="15">
        <v>2032.693838862559</v>
      </c>
      <c r="I35" s="15">
        <v>127.79665735154725</v>
      </c>
      <c r="J35" s="15">
        <v>633.91199083108768</v>
      </c>
      <c r="K35" s="15">
        <v>44.4</v>
      </c>
      <c r="L35" s="15">
        <v>8.3000000000000007</v>
      </c>
      <c r="M35" s="15">
        <v>8.1</v>
      </c>
      <c r="N35" s="15">
        <v>39.200000000000003</v>
      </c>
    </row>
    <row r="36" spans="4:14" ht="16" x14ac:dyDescent="0.2">
      <c r="D36" s="4"/>
      <c r="E36" t="s">
        <v>37</v>
      </c>
      <c r="F36" s="15">
        <v>77.3</v>
      </c>
      <c r="G36" s="15">
        <v>917.9</v>
      </c>
      <c r="H36" s="15">
        <v>1016.3469194312795</v>
      </c>
      <c r="I36" s="15">
        <v>86.001440497901385</v>
      </c>
      <c r="J36" s="15">
        <v>1112.5671474502119</v>
      </c>
      <c r="K36" s="15">
        <v>30.3</v>
      </c>
      <c r="L36" s="15">
        <v>32.700000000000003</v>
      </c>
      <c r="M36" s="15">
        <v>6.7</v>
      </c>
      <c r="N36" s="15">
        <v>30.3</v>
      </c>
    </row>
    <row r="37" spans="4:14" ht="16" x14ac:dyDescent="0.2">
      <c r="D37" s="4"/>
      <c r="E37" t="s">
        <v>13</v>
      </c>
      <c r="F37" s="15">
        <v>3066</v>
      </c>
      <c r="G37" s="15">
        <v>3066</v>
      </c>
      <c r="H37" s="15">
        <v>5456.1781990521322</v>
      </c>
      <c r="I37" s="15">
        <v>5456.1781990521322</v>
      </c>
      <c r="J37" s="15">
        <v>1779.5754073881708</v>
      </c>
      <c r="K37" s="15">
        <v>17.8</v>
      </c>
      <c r="L37" s="15">
        <v>49.2</v>
      </c>
      <c r="M37" s="15">
        <v>6.1</v>
      </c>
      <c r="N37" s="15">
        <v>26.9</v>
      </c>
    </row>
    <row r="38" spans="4:14" ht="16" x14ac:dyDescent="0.2">
      <c r="D38" s="4"/>
      <c r="E38" t="s">
        <v>38</v>
      </c>
      <c r="F38" s="15">
        <v>321.8</v>
      </c>
      <c r="G38" s="15">
        <v>4079.5</v>
      </c>
      <c r="H38" s="15">
        <v>3209.5165876777255</v>
      </c>
      <c r="I38" s="15">
        <v>260.71835925102334</v>
      </c>
      <c r="J38" s="15">
        <v>810.18756759174437</v>
      </c>
      <c r="K38" s="15">
        <v>31.4</v>
      </c>
      <c r="L38" s="15">
        <v>20.3</v>
      </c>
      <c r="M38" s="15">
        <v>6.5</v>
      </c>
      <c r="N38" s="15">
        <v>41.8</v>
      </c>
    </row>
    <row r="39" spans="4:14" ht="16" x14ac:dyDescent="0.2">
      <c r="D39" s="4"/>
      <c r="E39" t="s">
        <v>40</v>
      </c>
      <c r="F39" s="15">
        <v>153.1</v>
      </c>
      <c r="G39" s="15">
        <v>2002.8</v>
      </c>
      <c r="H39" s="15">
        <v>1711.7421800947868</v>
      </c>
      <c r="I39" s="15">
        <v>126.14004871814529</v>
      </c>
      <c r="J39" s="15">
        <v>823.90626203883278</v>
      </c>
      <c r="K39" s="15">
        <v>37.200000000000003</v>
      </c>
      <c r="L39" s="15">
        <v>18.2</v>
      </c>
      <c r="M39" s="15">
        <v>7</v>
      </c>
      <c r="N39" s="15">
        <v>37.6</v>
      </c>
    </row>
    <row r="40" spans="4:14" ht="16" x14ac:dyDescent="0.2">
      <c r="D40" s="5"/>
      <c r="E40" t="s">
        <v>41</v>
      </c>
      <c r="F40" s="15">
        <v>3058.4</v>
      </c>
      <c r="G40" s="15">
        <v>3058.4</v>
      </c>
      <c r="H40" s="15">
        <v>10163.469194312796</v>
      </c>
      <c r="I40" s="15">
        <v>10163.469999999999</v>
      </c>
      <c r="J40" s="15">
        <v>3323.1330107245617</v>
      </c>
      <c r="K40" s="15">
        <v>0</v>
      </c>
      <c r="L40" s="15">
        <v>29.6</v>
      </c>
      <c r="M40" s="15">
        <v>8.1999999999999993</v>
      </c>
      <c r="N40" s="15">
        <v>62.2</v>
      </c>
    </row>
    <row r="41" spans="4:14" x14ac:dyDescent="0.2">
      <c r="E41" t="s">
        <v>39</v>
      </c>
      <c r="F41" s="15">
        <v>56.2</v>
      </c>
      <c r="G41" s="15"/>
      <c r="H41" s="15"/>
      <c r="I41" s="15">
        <v>110.843452429267</v>
      </c>
      <c r="J41" s="15">
        <v>1972.3034240083095</v>
      </c>
      <c r="K41" s="15">
        <v>17.8</v>
      </c>
      <c r="L41" s="15">
        <v>49.2</v>
      </c>
      <c r="M41" s="15">
        <v>6.1</v>
      </c>
      <c r="N41" s="15">
        <v>26.9</v>
      </c>
    </row>
    <row r="45" spans="4:14" x14ac:dyDescent="0.2">
      <c r="E45" t="s">
        <v>59</v>
      </c>
      <c r="F45" t="s">
        <v>60</v>
      </c>
      <c r="G45" s="7" t="s">
        <v>64</v>
      </c>
      <c r="H45" t="s">
        <v>61</v>
      </c>
      <c r="I45" t="s">
        <v>62</v>
      </c>
      <c r="J45" t="s">
        <v>69</v>
      </c>
    </row>
    <row r="46" spans="4:14" x14ac:dyDescent="0.2">
      <c r="E46" t="s">
        <v>28</v>
      </c>
      <c r="F46" s="15">
        <v>339.2</v>
      </c>
      <c r="G46" s="15">
        <v>865.35094456429636</v>
      </c>
      <c r="H46" s="15">
        <v>2008.8</v>
      </c>
      <c r="I46" s="15">
        <v>1497.7744075829385</v>
      </c>
      <c r="J46" s="15">
        <f>I46/H46*1000</f>
        <v>745.60653503730509</v>
      </c>
    </row>
    <row r="47" spans="4:14" x14ac:dyDescent="0.2">
      <c r="E47" t="s">
        <v>29</v>
      </c>
      <c r="F47" s="15">
        <v>480.8</v>
      </c>
      <c r="G47" s="15">
        <v>917.83638292281796</v>
      </c>
      <c r="H47" s="15">
        <v>3409</v>
      </c>
      <c r="I47" s="15">
        <v>3102.5327014218014</v>
      </c>
      <c r="J47" s="15">
        <f t="shared" ref="J47:J59" si="4">I47/H47*1000</f>
        <v>910.10052843115329</v>
      </c>
    </row>
    <row r="48" spans="4:14" x14ac:dyDescent="0.2">
      <c r="E48" t="s">
        <v>30</v>
      </c>
      <c r="F48" s="15">
        <v>269.5</v>
      </c>
      <c r="G48" s="15">
        <v>1135.4842711623419</v>
      </c>
      <c r="H48" s="15">
        <v>2050.6</v>
      </c>
      <c r="I48" s="15">
        <v>2407.1374407582939</v>
      </c>
      <c r="J48" s="15">
        <f t="shared" si="4"/>
        <v>1173.869814082851</v>
      </c>
    </row>
    <row r="49" spans="5:11" x14ac:dyDescent="0.2">
      <c r="E49" t="s">
        <v>31</v>
      </c>
      <c r="F49" s="15">
        <v>195.8</v>
      </c>
      <c r="G49" s="15">
        <v>948.01356692572131</v>
      </c>
      <c r="H49" s="15">
        <v>1514.5</v>
      </c>
      <c r="I49" s="15">
        <v>1497.7744075829385</v>
      </c>
      <c r="J49" s="15">
        <f t="shared" si="4"/>
        <v>988.95636023964244</v>
      </c>
    </row>
    <row r="50" spans="5:11" x14ac:dyDescent="0.2">
      <c r="E50" t="s">
        <v>32</v>
      </c>
      <c r="F50" s="15">
        <v>295.60000000000002</v>
      </c>
      <c r="G50" s="15">
        <v>787.2736921378953</v>
      </c>
      <c r="H50" s="15">
        <v>3577</v>
      </c>
      <c r="I50" s="15">
        <v>2835.0729857819906</v>
      </c>
      <c r="J50" s="15">
        <f t="shared" si="4"/>
        <v>792.58400497120226</v>
      </c>
    </row>
    <row r="51" spans="5:11" x14ac:dyDescent="0.2">
      <c r="E51" t="s">
        <v>33</v>
      </c>
      <c r="F51" s="15">
        <v>161.30000000000001</v>
      </c>
      <c r="G51" s="15">
        <v>4816.2810151369986</v>
      </c>
      <c r="H51" s="15">
        <v>1079.9000000000001</v>
      </c>
      <c r="I51" s="15">
        <v>4546.8151658767774</v>
      </c>
      <c r="J51" s="15">
        <f t="shared" si="4"/>
        <v>4210.4038946909686</v>
      </c>
    </row>
    <row r="52" spans="5:11" x14ac:dyDescent="0.2">
      <c r="E52" t="s">
        <v>34</v>
      </c>
      <c r="F52" s="15">
        <v>696.5</v>
      </c>
      <c r="G52" s="15">
        <v>745.6306891849905</v>
      </c>
      <c r="H52" s="15">
        <v>3079.9</v>
      </c>
      <c r="I52" s="15">
        <v>2193.1696682464449</v>
      </c>
      <c r="J52" s="15">
        <f t="shared" si="4"/>
        <v>712.09119394994798</v>
      </c>
    </row>
    <row r="53" spans="5:11" x14ac:dyDescent="0.2">
      <c r="E53" t="s">
        <v>35</v>
      </c>
      <c r="F53" s="15">
        <v>585.20000000000005</v>
      </c>
      <c r="G53" s="15">
        <v>883.9463565811169</v>
      </c>
      <c r="H53" s="15">
        <v>4227.3</v>
      </c>
      <c r="I53" s="15">
        <v>3476.9763033175359</v>
      </c>
      <c r="J53" s="15">
        <f t="shared" si="4"/>
        <v>822.5052168801684</v>
      </c>
    </row>
    <row r="54" spans="5:11" x14ac:dyDescent="0.2">
      <c r="E54" t="s">
        <v>36</v>
      </c>
      <c r="F54" s="15">
        <v>201.6</v>
      </c>
      <c r="G54" s="15">
        <v>633.91199083108768</v>
      </c>
      <c r="H54" s="15">
        <v>2891.7</v>
      </c>
      <c r="I54" s="15">
        <v>2032.693838862559</v>
      </c>
      <c r="J54" s="15">
        <f t="shared" si="4"/>
        <v>702.94077492912788</v>
      </c>
    </row>
    <row r="55" spans="5:11" x14ac:dyDescent="0.2">
      <c r="E55" t="s">
        <v>37</v>
      </c>
      <c r="F55" s="15">
        <v>77.3</v>
      </c>
      <c r="G55" s="15">
        <v>1112.5671474502119</v>
      </c>
      <c r="H55" s="15">
        <v>917.9</v>
      </c>
      <c r="I55" s="15">
        <v>1016.3469194312795</v>
      </c>
      <c r="J55" s="15">
        <f t="shared" si="4"/>
        <v>1107.2523362362781</v>
      </c>
    </row>
    <row r="56" spans="5:11" x14ac:dyDescent="0.2">
      <c r="E56" t="s">
        <v>39</v>
      </c>
      <c r="F56" s="15">
        <v>56.2</v>
      </c>
      <c r="G56" s="15">
        <v>1972.3034240083095</v>
      </c>
      <c r="H56" s="15">
        <v>3066</v>
      </c>
      <c r="I56" s="15">
        <v>5456.1781990521322</v>
      </c>
      <c r="J56" s="15">
        <f t="shared" si="4"/>
        <v>1779.5754073881708</v>
      </c>
    </row>
    <row r="57" spans="5:11" x14ac:dyDescent="0.2">
      <c r="E57" t="s">
        <v>38</v>
      </c>
      <c r="F57" s="15">
        <v>321.8</v>
      </c>
      <c r="G57" s="15">
        <v>810.18756759174437</v>
      </c>
      <c r="H57" s="15">
        <v>4079.5</v>
      </c>
      <c r="I57" s="15">
        <v>3209.5165876777255</v>
      </c>
      <c r="J57" s="15">
        <f t="shared" si="4"/>
        <v>786.74263700887991</v>
      </c>
    </row>
    <row r="58" spans="5:11" x14ac:dyDescent="0.2">
      <c r="E58" t="s">
        <v>40</v>
      </c>
      <c r="F58" s="15">
        <v>153.1</v>
      </c>
      <c r="G58" s="15">
        <v>823.90626203883278</v>
      </c>
      <c r="H58" s="15">
        <v>2002.8</v>
      </c>
      <c r="I58" s="15">
        <v>1711.7421800947868</v>
      </c>
      <c r="J58" s="15">
        <f t="shared" si="4"/>
        <v>854.67454568343658</v>
      </c>
    </row>
    <row r="59" spans="5:11" x14ac:dyDescent="0.2">
      <c r="E59" t="s">
        <v>41</v>
      </c>
      <c r="F59" s="15">
        <v>3058.4</v>
      </c>
      <c r="G59" s="15">
        <v>3323.1330107245617</v>
      </c>
      <c r="H59" s="15">
        <v>3058.4</v>
      </c>
      <c r="I59" s="15">
        <v>10163.469194312796</v>
      </c>
      <c r="J59" s="15">
        <f t="shared" si="4"/>
        <v>3323.1327472903467</v>
      </c>
    </row>
    <row r="62" spans="5:11" x14ac:dyDescent="0.2">
      <c r="E62" t="s">
        <v>59</v>
      </c>
      <c r="F62" t="s">
        <v>60</v>
      </c>
      <c r="G62" t="s">
        <v>61</v>
      </c>
      <c r="I62" t="s">
        <v>59</v>
      </c>
      <c r="J62" s="7" t="s">
        <v>64</v>
      </c>
      <c r="K62" t="s">
        <v>69</v>
      </c>
    </row>
    <row r="63" spans="5:11" x14ac:dyDescent="0.2">
      <c r="E63" t="s">
        <v>28</v>
      </c>
      <c r="F63" s="15">
        <v>339.2</v>
      </c>
      <c r="G63" s="15">
        <v>2008.8</v>
      </c>
      <c r="I63" t="s">
        <v>28</v>
      </c>
      <c r="J63" s="15">
        <v>865.35094456429636</v>
      </c>
      <c r="K63">
        <v>745.60653503730509</v>
      </c>
    </row>
    <row r="64" spans="5:11" x14ac:dyDescent="0.2">
      <c r="E64" t="s">
        <v>29</v>
      </c>
      <c r="F64" s="15">
        <v>480.8</v>
      </c>
      <c r="G64" s="15">
        <v>3409</v>
      </c>
      <c r="I64" t="s">
        <v>29</v>
      </c>
      <c r="J64" s="15">
        <v>917.83638292281796</v>
      </c>
      <c r="K64">
        <v>910.10052843115329</v>
      </c>
    </row>
    <row r="65" spans="5:11" x14ac:dyDescent="0.2">
      <c r="E65" t="s">
        <v>30</v>
      </c>
      <c r="F65" s="15">
        <v>269.5</v>
      </c>
      <c r="G65" s="15">
        <v>2050.6</v>
      </c>
      <c r="I65" t="s">
        <v>30</v>
      </c>
      <c r="J65" s="15">
        <v>1135.4842711623419</v>
      </c>
      <c r="K65">
        <v>1173.869814082851</v>
      </c>
    </row>
    <row r="66" spans="5:11" x14ac:dyDescent="0.2">
      <c r="E66" t="s">
        <v>31</v>
      </c>
      <c r="F66" s="15">
        <v>195.8</v>
      </c>
      <c r="G66" s="15">
        <v>1514.5</v>
      </c>
      <c r="I66" t="s">
        <v>31</v>
      </c>
      <c r="J66" s="15">
        <v>948.01356692572131</v>
      </c>
      <c r="K66">
        <v>988.95636023964244</v>
      </c>
    </row>
    <row r="67" spans="5:11" x14ac:dyDescent="0.2">
      <c r="E67" t="s">
        <v>32</v>
      </c>
      <c r="F67" s="15">
        <v>295.60000000000002</v>
      </c>
      <c r="G67" s="15">
        <v>3577</v>
      </c>
      <c r="I67" t="s">
        <v>32</v>
      </c>
      <c r="J67" s="15">
        <v>787.2736921378953</v>
      </c>
      <c r="K67">
        <v>792.58400497120226</v>
      </c>
    </row>
    <row r="68" spans="5:11" x14ac:dyDescent="0.2">
      <c r="E68" t="s">
        <v>33</v>
      </c>
      <c r="F68" s="15">
        <v>161.30000000000001</v>
      </c>
      <c r="G68" s="15">
        <v>1079.9000000000001</v>
      </c>
      <c r="I68" t="s">
        <v>33</v>
      </c>
      <c r="J68" s="15">
        <v>4816.2810151369986</v>
      </c>
      <c r="K68">
        <v>4210.4038946909686</v>
      </c>
    </row>
    <row r="69" spans="5:11" x14ac:dyDescent="0.2">
      <c r="E69" t="s">
        <v>34</v>
      </c>
      <c r="F69" s="15">
        <v>696.5</v>
      </c>
      <c r="G69" s="15">
        <v>3079.9</v>
      </c>
      <c r="I69" t="s">
        <v>34</v>
      </c>
      <c r="J69" s="15">
        <v>745.6306891849905</v>
      </c>
      <c r="K69">
        <v>712.09119394994798</v>
      </c>
    </row>
    <row r="70" spans="5:11" x14ac:dyDescent="0.2">
      <c r="E70" t="s">
        <v>35</v>
      </c>
      <c r="F70" s="15">
        <v>585.20000000000005</v>
      </c>
      <c r="G70" s="15">
        <v>4227.3</v>
      </c>
      <c r="I70" t="s">
        <v>35</v>
      </c>
      <c r="J70" s="15">
        <v>883.9463565811169</v>
      </c>
      <c r="K70">
        <v>822.5052168801684</v>
      </c>
    </row>
    <row r="71" spans="5:11" x14ac:dyDescent="0.2">
      <c r="E71" t="s">
        <v>36</v>
      </c>
      <c r="F71" s="15">
        <v>201.6</v>
      </c>
      <c r="G71" s="15">
        <v>2891.7</v>
      </c>
      <c r="I71" t="s">
        <v>36</v>
      </c>
      <c r="J71" s="15">
        <v>633.91199083108768</v>
      </c>
      <c r="K71">
        <v>702.94077492912788</v>
      </c>
    </row>
    <row r="72" spans="5:11" x14ac:dyDescent="0.2">
      <c r="E72" t="s">
        <v>37</v>
      </c>
      <c r="F72" s="15">
        <v>77.3</v>
      </c>
      <c r="G72" s="15">
        <v>917.9</v>
      </c>
      <c r="I72" t="s">
        <v>37</v>
      </c>
      <c r="J72" s="15">
        <v>1112.5671474502119</v>
      </c>
      <c r="K72">
        <v>1107.2523362362781</v>
      </c>
    </row>
    <row r="73" spans="5:11" x14ac:dyDescent="0.2">
      <c r="E73" t="s">
        <v>39</v>
      </c>
      <c r="F73" s="15">
        <v>56.2</v>
      </c>
      <c r="G73" s="15">
        <v>3066</v>
      </c>
      <c r="I73" t="s">
        <v>39</v>
      </c>
      <c r="J73" s="15">
        <v>1972.3034240083095</v>
      </c>
      <c r="K73">
        <v>1779.5754073881708</v>
      </c>
    </row>
    <row r="74" spans="5:11" x14ac:dyDescent="0.2">
      <c r="E74" t="s">
        <v>38</v>
      </c>
      <c r="F74" s="15">
        <v>321.8</v>
      </c>
      <c r="G74" s="15">
        <v>4079.5</v>
      </c>
      <c r="I74" t="s">
        <v>38</v>
      </c>
      <c r="J74" s="15">
        <v>810.18756759174437</v>
      </c>
      <c r="K74">
        <v>786.74263700887991</v>
      </c>
    </row>
    <row r="75" spans="5:11" x14ac:dyDescent="0.2">
      <c r="E75" t="s">
        <v>40</v>
      </c>
      <c r="F75" s="15">
        <v>153.1</v>
      </c>
      <c r="G75" s="15">
        <v>2002.8</v>
      </c>
      <c r="I75" t="s">
        <v>40</v>
      </c>
      <c r="J75" s="15">
        <v>823.90626203883278</v>
      </c>
      <c r="K75">
        <v>854.67454568343658</v>
      </c>
    </row>
    <row r="76" spans="5:11" x14ac:dyDescent="0.2">
      <c r="E76" t="s">
        <v>41</v>
      </c>
      <c r="F76" s="15">
        <v>3058.4</v>
      </c>
      <c r="G76" s="15">
        <v>3058.4</v>
      </c>
      <c r="I76" t="s">
        <v>41</v>
      </c>
      <c r="J76" s="15">
        <v>3323.1330107245617</v>
      </c>
      <c r="K76">
        <v>3323.1327472903467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03CE-0527-D44E-AB06-73177A88E89B}">
  <dimension ref="A1:U98"/>
  <sheetViews>
    <sheetView topLeftCell="E52" zoomScale="75" workbookViewId="0">
      <selection activeCell="H81" sqref="H81"/>
    </sheetView>
  </sheetViews>
  <sheetFormatPr baseColWidth="10" defaultRowHeight="15" x14ac:dyDescent="0.2"/>
  <cols>
    <col min="2" max="2" width="19.1640625" customWidth="1"/>
    <col min="4" max="4" width="8.83203125" customWidth="1"/>
    <col min="8" max="8" width="12.1640625" customWidth="1"/>
    <col min="13" max="13" width="20.1640625" customWidth="1"/>
  </cols>
  <sheetData>
    <row r="1" spans="2:21" x14ac:dyDescent="0.2">
      <c r="C1" s="18" t="s">
        <v>73</v>
      </c>
      <c r="D1" s="18" t="s">
        <v>73</v>
      </c>
      <c r="E1" s="18" t="s">
        <v>73</v>
      </c>
      <c r="F1" s="18" t="s">
        <v>73</v>
      </c>
      <c r="G1" s="18" t="s">
        <v>73</v>
      </c>
      <c r="H1" s="18" t="s">
        <v>73</v>
      </c>
      <c r="I1" s="18" t="s">
        <v>73</v>
      </c>
      <c r="J1" s="18" t="s">
        <v>73</v>
      </c>
    </row>
    <row r="2" spans="2:21" x14ac:dyDescent="0.2">
      <c r="B2" s="18" t="s">
        <v>81</v>
      </c>
      <c r="C2" s="18">
        <v>2017</v>
      </c>
      <c r="D2" s="18">
        <v>2018</v>
      </c>
      <c r="E2" s="18">
        <v>2019</v>
      </c>
      <c r="F2" s="18">
        <v>2020</v>
      </c>
      <c r="G2" s="18">
        <v>2021</v>
      </c>
      <c r="H2" s="18">
        <v>2022</v>
      </c>
      <c r="I2" s="18">
        <v>2023</v>
      </c>
      <c r="J2" s="18">
        <v>2024</v>
      </c>
    </row>
    <row r="3" spans="2:21" x14ac:dyDescent="0.2">
      <c r="B3" s="7" t="s">
        <v>3</v>
      </c>
      <c r="C3" s="20">
        <v>10243</v>
      </c>
      <c r="D3" s="20">
        <v>15622.6</v>
      </c>
      <c r="E3" s="20">
        <v>19557</v>
      </c>
      <c r="F3" s="20">
        <v>21661.9</v>
      </c>
      <c r="G3" s="20">
        <v>25681.8</v>
      </c>
      <c r="H3" s="20">
        <v>35541.599999999999</v>
      </c>
      <c r="I3" s="20">
        <v>39166.199999999997</v>
      </c>
      <c r="J3" s="14">
        <v>45658.5</v>
      </c>
      <c r="M3" s="18" t="s">
        <v>82</v>
      </c>
      <c r="N3" s="18">
        <v>2017</v>
      </c>
      <c r="O3" s="18">
        <v>2018</v>
      </c>
      <c r="P3" s="18">
        <v>2019</v>
      </c>
      <c r="Q3" s="18">
        <v>2020</v>
      </c>
      <c r="R3" s="18">
        <v>2021</v>
      </c>
      <c r="S3" s="18">
        <v>2022</v>
      </c>
      <c r="T3" s="18">
        <v>2023</v>
      </c>
      <c r="U3" s="18">
        <v>2024</v>
      </c>
    </row>
    <row r="4" spans="2:21" x14ac:dyDescent="0.2">
      <c r="B4" s="7" t="s">
        <v>4</v>
      </c>
      <c r="C4" s="20">
        <v>19206</v>
      </c>
      <c r="D4" s="20">
        <v>27017.7</v>
      </c>
      <c r="E4" s="20">
        <v>33581.300000000003</v>
      </c>
      <c r="F4" s="20">
        <v>38008.5</v>
      </c>
      <c r="G4" s="20">
        <v>43332.5</v>
      </c>
      <c r="H4" s="20">
        <v>62981.4</v>
      </c>
      <c r="I4" s="20">
        <v>77337.899999999994</v>
      </c>
      <c r="J4" s="14">
        <v>90522.1</v>
      </c>
      <c r="M4" s="7" t="s">
        <v>3</v>
      </c>
      <c r="N4">
        <v>15.2</v>
      </c>
      <c r="O4">
        <v>27.8</v>
      </c>
      <c r="P4">
        <v>28.1</v>
      </c>
      <c r="Q4">
        <v>29.6</v>
      </c>
      <c r="R4">
        <v>29.4</v>
      </c>
      <c r="S4">
        <v>24.9</v>
      </c>
      <c r="T4">
        <v>25.2</v>
      </c>
      <c r="U4">
        <v>23.5</v>
      </c>
    </row>
    <row r="5" spans="2:21" x14ac:dyDescent="0.2">
      <c r="B5" s="7" t="s">
        <v>5</v>
      </c>
      <c r="C5" s="20">
        <v>16504.3</v>
      </c>
      <c r="D5" s="20">
        <v>21817.4</v>
      </c>
      <c r="E5" s="20">
        <v>27963.200000000001</v>
      </c>
      <c r="F5" s="20">
        <v>31334.2</v>
      </c>
      <c r="G5" s="20">
        <v>38350.1</v>
      </c>
      <c r="H5" s="20">
        <v>51728</v>
      </c>
      <c r="I5" s="20">
        <v>61242.6</v>
      </c>
      <c r="J5" s="14">
        <v>71560.399999999994</v>
      </c>
      <c r="M5" s="7" t="s">
        <v>4</v>
      </c>
      <c r="N5">
        <v>33.4</v>
      </c>
      <c r="O5">
        <v>44.7</v>
      </c>
      <c r="P5">
        <v>43.2</v>
      </c>
      <c r="Q5">
        <v>42.7</v>
      </c>
      <c r="R5">
        <v>43.3</v>
      </c>
      <c r="S5">
        <v>35.700000000000003</v>
      </c>
      <c r="T5">
        <v>33.299999999999997</v>
      </c>
      <c r="U5">
        <v>31</v>
      </c>
    </row>
    <row r="6" spans="2:21" x14ac:dyDescent="0.2">
      <c r="B6" s="7" t="s">
        <v>6</v>
      </c>
      <c r="C6" s="20">
        <v>9148.1</v>
      </c>
      <c r="D6" s="20">
        <v>12715.6</v>
      </c>
      <c r="E6" s="20">
        <v>16056.1</v>
      </c>
      <c r="F6" s="20">
        <v>18441.7</v>
      </c>
      <c r="G6" s="20">
        <v>23274.3</v>
      </c>
      <c r="H6" s="20">
        <v>30367</v>
      </c>
      <c r="I6" s="20">
        <v>37383.199999999997</v>
      </c>
      <c r="J6" s="14">
        <v>43057.9</v>
      </c>
      <c r="M6" s="7" t="s">
        <v>5</v>
      </c>
      <c r="N6">
        <v>31</v>
      </c>
      <c r="O6">
        <v>48.7</v>
      </c>
      <c r="P6">
        <v>43.2</v>
      </c>
      <c r="Q6">
        <v>46.2</v>
      </c>
      <c r="R6">
        <v>45.5</v>
      </c>
      <c r="S6">
        <v>39.1</v>
      </c>
      <c r="T6">
        <v>37.4</v>
      </c>
      <c r="U6">
        <v>35</v>
      </c>
    </row>
    <row r="7" spans="2:21" x14ac:dyDescent="0.2">
      <c r="B7" s="7" t="s">
        <v>7</v>
      </c>
      <c r="C7" s="20">
        <v>22633.4</v>
      </c>
      <c r="D7" s="20">
        <v>26438.9</v>
      </c>
      <c r="E7" s="20">
        <v>32223</v>
      </c>
      <c r="F7" s="20">
        <v>35351.5</v>
      </c>
      <c r="G7" s="20">
        <v>42560.2</v>
      </c>
      <c r="H7" s="20">
        <v>57629.1</v>
      </c>
      <c r="I7" s="20">
        <v>68648.600000000006</v>
      </c>
      <c r="J7" s="14">
        <v>80658.3</v>
      </c>
      <c r="M7" s="7" t="s">
        <v>6</v>
      </c>
      <c r="N7">
        <v>35.200000000000003</v>
      </c>
      <c r="O7">
        <v>55.7</v>
      </c>
      <c r="P7">
        <v>53.2</v>
      </c>
      <c r="Q7">
        <v>53.8</v>
      </c>
      <c r="R7">
        <v>53.5</v>
      </c>
      <c r="S7">
        <v>47</v>
      </c>
      <c r="T7">
        <v>43.3</v>
      </c>
      <c r="U7">
        <v>40.5</v>
      </c>
    </row>
    <row r="8" spans="2:21" x14ac:dyDescent="0.2">
      <c r="B8" s="7" t="s">
        <v>8</v>
      </c>
      <c r="C8" s="20">
        <v>14232.2</v>
      </c>
      <c r="D8" s="20">
        <v>22573.3</v>
      </c>
      <c r="E8" s="20">
        <v>36224.300000000003</v>
      </c>
      <c r="F8" s="20">
        <v>49780.4</v>
      </c>
      <c r="G8" s="20">
        <v>58730.3</v>
      </c>
      <c r="H8" s="20">
        <v>71994.100000000006</v>
      </c>
      <c r="I8" s="20">
        <v>88215.4</v>
      </c>
      <c r="J8" s="14">
        <v>117297.8</v>
      </c>
      <c r="M8" s="7" t="s">
        <v>7</v>
      </c>
      <c r="N8">
        <v>22.6</v>
      </c>
      <c r="O8">
        <v>42.7</v>
      </c>
      <c r="P8">
        <v>41.1</v>
      </c>
      <c r="Q8">
        <v>42.4</v>
      </c>
      <c r="R8">
        <v>42.1</v>
      </c>
      <c r="S8">
        <v>35.5</v>
      </c>
      <c r="T8">
        <v>34.6</v>
      </c>
      <c r="U8">
        <v>32.700000000000003</v>
      </c>
    </row>
    <row r="9" spans="2:21" x14ac:dyDescent="0.2">
      <c r="B9" s="7" t="s">
        <v>9</v>
      </c>
      <c r="C9" s="20">
        <v>14501.2</v>
      </c>
      <c r="D9" s="20">
        <v>18809.599999999999</v>
      </c>
      <c r="E9" s="20">
        <v>23764</v>
      </c>
      <c r="F9" s="20">
        <v>27863</v>
      </c>
      <c r="G9" s="20">
        <v>41098.199999999997</v>
      </c>
      <c r="H9" s="20">
        <v>48513.7</v>
      </c>
      <c r="I9" s="20">
        <v>58173.7</v>
      </c>
      <c r="J9" s="14">
        <v>68915.7</v>
      </c>
      <c r="M9" s="7" t="s">
        <v>8</v>
      </c>
      <c r="N9">
        <v>18.5</v>
      </c>
      <c r="O9">
        <v>23.1</v>
      </c>
      <c r="P9">
        <v>16.3</v>
      </c>
      <c r="Q9">
        <v>14</v>
      </c>
      <c r="R9">
        <v>14.9</v>
      </c>
      <c r="S9">
        <v>13.2</v>
      </c>
      <c r="T9">
        <v>13</v>
      </c>
      <c r="U9">
        <v>10.7</v>
      </c>
    </row>
    <row r="10" spans="2:21" x14ac:dyDescent="0.2">
      <c r="B10" s="7" t="s">
        <v>10</v>
      </c>
      <c r="C10" s="20">
        <v>25569.8</v>
      </c>
      <c r="D10" s="20">
        <v>32681.7</v>
      </c>
      <c r="E10" s="20">
        <v>38765.9</v>
      </c>
      <c r="F10" s="20">
        <v>43023.199999999997</v>
      </c>
      <c r="G10" s="20">
        <v>52893.599999999999</v>
      </c>
      <c r="H10" s="20">
        <v>68988.600000000006</v>
      </c>
      <c r="I10" s="20">
        <v>83149.5</v>
      </c>
      <c r="J10" s="14">
        <v>99866.1</v>
      </c>
      <c r="M10" s="7" t="s">
        <v>9</v>
      </c>
      <c r="N10">
        <v>30.9</v>
      </c>
      <c r="O10">
        <v>45.5</v>
      </c>
      <c r="P10">
        <v>43.2</v>
      </c>
      <c r="Q10">
        <v>42.4</v>
      </c>
      <c r="R10">
        <v>41.4</v>
      </c>
      <c r="S10">
        <v>33.700000000000003</v>
      </c>
      <c r="T10">
        <v>32.5</v>
      </c>
      <c r="U10">
        <v>29.8</v>
      </c>
    </row>
    <row r="11" spans="2:21" x14ac:dyDescent="0.2">
      <c r="B11" s="7" t="s">
        <v>11</v>
      </c>
      <c r="C11" s="20">
        <v>13702.2</v>
      </c>
      <c r="D11" s="20">
        <v>18592.5</v>
      </c>
      <c r="E11" s="20">
        <v>22288.1</v>
      </c>
      <c r="F11" s="20">
        <v>24625.599999999999</v>
      </c>
      <c r="G11" s="20">
        <v>29693.200000000001</v>
      </c>
      <c r="H11" s="20">
        <v>39201.800000000003</v>
      </c>
      <c r="I11" s="20">
        <v>46999.199999999997</v>
      </c>
      <c r="J11" s="14">
        <v>54354.1</v>
      </c>
      <c r="M11" s="7" t="s">
        <v>10</v>
      </c>
      <c r="N11">
        <v>32.200000000000003</v>
      </c>
      <c r="O11">
        <v>47.6</v>
      </c>
      <c r="P11">
        <v>44.8</v>
      </c>
      <c r="Q11">
        <v>45.7</v>
      </c>
      <c r="R11">
        <v>43.8</v>
      </c>
      <c r="S11">
        <v>35.1</v>
      </c>
      <c r="T11">
        <v>34.700000000000003</v>
      </c>
      <c r="U11">
        <v>32.5</v>
      </c>
    </row>
    <row r="12" spans="2:21" x14ac:dyDescent="0.2">
      <c r="B12" s="7" t="s">
        <v>12</v>
      </c>
      <c r="C12" s="20">
        <v>6432.2</v>
      </c>
      <c r="D12" s="20">
        <v>8532.7000000000007</v>
      </c>
      <c r="E12" s="20">
        <v>11865.2</v>
      </c>
      <c r="F12" s="20">
        <v>12803.8</v>
      </c>
      <c r="G12" s="20">
        <v>15071.5</v>
      </c>
      <c r="H12" s="20">
        <v>20155.599999999999</v>
      </c>
      <c r="I12" s="20">
        <v>24001.7</v>
      </c>
      <c r="J12" s="14">
        <v>28003.3</v>
      </c>
      <c r="M12" s="7" t="s">
        <v>11</v>
      </c>
      <c r="N12">
        <v>40.299999999999997</v>
      </c>
      <c r="O12">
        <v>50.8</v>
      </c>
      <c r="P12">
        <v>49.9</v>
      </c>
      <c r="Q12">
        <v>48.5</v>
      </c>
      <c r="R12">
        <v>47.6</v>
      </c>
      <c r="S12">
        <v>41.6</v>
      </c>
      <c r="T12">
        <v>41.6</v>
      </c>
      <c r="U12">
        <v>39.1</v>
      </c>
    </row>
    <row r="13" spans="2:21" x14ac:dyDescent="0.2">
      <c r="B13" s="7" t="s">
        <v>13</v>
      </c>
      <c r="C13" s="20">
        <v>27847.599999999999</v>
      </c>
      <c r="D13" s="20">
        <v>39989.9</v>
      </c>
      <c r="E13" s="20">
        <v>54759.3</v>
      </c>
      <c r="F13" s="20">
        <v>64407.6</v>
      </c>
      <c r="G13" s="20">
        <v>82221.8</v>
      </c>
      <c r="H13" s="20">
        <v>103244.8</v>
      </c>
      <c r="I13" s="20">
        <v>121442.6</v>
      </c>
      <c r="J13" s="14">
        <v>146385.20000000001</v>
      </c>
      <c r="M13" s="7" t="s">
        <v>12</v>
      </c>
      <c r="N13">
        <v>36.9</v>
      </c>
      <c r="O13">
        <v>43.4</v>
      </c>
      <c r="P13">
        <v>41.1</v>
      </c>
      <c r="Q13">
        <v>39.799999999999997</v>
      </c>
      <c r="R13">
        <v>40.299999999999997</v>
      </c>
      <c r="S13">
        <v>36.4</v>
      </c>
      <c r="T13">
        <v>34.4</v>
      </c>
      <c r="U13">
        <v>32.6</v>
      </c>
    </row>
    <row r="14" spans="2:21" x14ac:dyDescent="0.2">
      <c r="B14" s="7" t="s">
        <v>14</v>
      </c>
      <c r="C14" s="20">
        <v>19837.5</v>
      </c>
      <c r="D14" s="20">
        <v>27523.9</v>
      </c>
      <c r="E14" s="20">
        <v>32520.799999999999</v>
      </c>
      <c r="F14" s="20">
        <v>37216.199999999997</v>
      </c>
      <c r="G14" s="20">
        <v>47760.5</v>
      </c>
      <c r="H14" s="20">
        <v>65516.9</v>
      </c>
      <c r="I14" s="20">
        <v>78009</v>
      </c>
      <c r="J14" s="14">
        <v>91333</v>
      </c>
      <c r="M14" s="7" t="s">
        <v>13</v>
      </c>
      <c r="N14">
        <v>23.1</v>
      </c>
      <c r="O14">
        <v>29.2</v>
      </c>
      <c r="P14">
        <v>24.3</v>
      </c>
      <c r="Q14">
        <v>23.5</v>
      </c>
      <c r="R14">
        <v>22.5</v>
      </c>
      <c r="S14">
        <v>20.100000000000001</v>
      </c>
      <c r="T14">
        <v>19.8</v>
      </c>
      <c r="U14">
        <v>17.7</v>
      </c>
    </row>
    <row r="15" spans="2:21" x14ac:dyDescent="0.2">
      <c r="B15" s="7" t="s">
        <v>15</v>
      </c>
      <c r="C15" s="20">
        <v>11457.2</v>
      </c>
      <c r="D15" s="20">
        <v>15900.1</v>
      </c>
      <c r="E15" s="20">
        <v>19129.099999999999</v>
      </c>
      <c r="F15" s="20">
        <v>21315.4</v>
      </c>
      <c r="G15" s="20">
        <v>26464.3</v>
      </c>
      <c r="H15" s="20">
        <v>37437.300000000003</v>
      </c>
      <c r="I15" s="20">
        <v>43666.7</v>
      </c>
      <c r="J15" s="14">
        <v>51261</v>
      </c>
      <c r="M15" s="7" t="s">
        <v>14</v>
      </c>
      <c r="N15">
        <v>23.4</v>
      </c>
      <c r="O15">
        <v>39.1</v>
      </c>
      <c r="P15">
        <v>35.200000000000003</v>
      </c>
      <c r="Q15">
        <v>34.9</v>
      </c>
      <c r="R15">
        <v>35</v>
      </c>
      <c r="S15">
        <v>30.5</v>
      </c>
      <c r="T15">
        <v>29.7</v>
      </c>
      <c r="U15">
        <v>28.2</v>
      </c>
    </row>
    <row r="16" spans="2:21" x14ac:dyDescent="0.2">
      <c r="B16" s="7" t="s">
        <v>16</v>
      </c>
      <c r="C16" s="20">
        <v>40720.400000000001</v>
      </c>
      <c r="D16" s="20">
        <v>63509.2</v>
      </c>
      <c r="E16" s="20">
        <v>84720.4</v>
      </c>
      <c r="F16" s="20">
        <v>95247.8</v>
      </c>
      <c r="G16" s="20">
        <v>121779.8</v>
      </c>
      <c r="H16" s="20">
        <v>172469.3</v>
      </c>
      <c r="I16" s="20">
        <v>215099.2</v>
      </c>
      <c r="J16" s="14">
        <v>281147.40000000002</v>
      </c>
      <c r="M16" s="7" t="s">
        <v>15</v>
      </c>
      <c r="N16">
        <v>30.4</v>
      </c>
      <c r="O16">
        <v>48.4</v>
      </c>
      <c r="P16">
        <v>46</v>
      </c>
      <c r="Q16">
        <v>47.3</v>
      </c>
      <c r="R16">
        <v>46.1</v>
      </c>
      <c r="S16">
        <v>39.4</v>
      </c>
      <c r="T16">
        <v>37.799999999999997</v>
      </c>
      <c r="U16">
        <v>34.799999999999997</v>
      </c>
    </row>
    <row r="17" spans="1:21" x14ac:dyDescent="0.2">
      <c r="B17" s="7" t="s">
        <v>48</v>
      </c>
      <c r="C17">
        <f t="shared" ref="C17:J17" si="0">SUM(C3:C16)</f>
        <v>252035.10000000003</v>
      </c>
      <c r="D17">
        <f t="shared" si="0"/>
        <v>351725.10000000003</v>
      </c>
      <c r="E17">
        <f t="shared" si="0"/>
        <v>453417.69999999995</v>
      </c>
      <c r="F17">
        <f t="shared" si="0"/>
        <v>521080.79999999993</v>
      </c>
      <c r="G17">
        <f t="shared" si="0"/>
        <v>648912.10000000009</v>
      </c>
      <c r="H17">
        <f t="shared" si="0"/>
        <v>865769.2</v>
      </c>
      <c r="I17">
        <f t="shared" si="0"/>
        <v>1042535.5</v>
      </c>
      <c r="J17">
        <f t="shared" si="0"/>
        <v>1270020.8000000003</v>
      </c>
      <c r="M17" s="7" t="s">
        <v>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 s="18" t="s">
        <v>72</v>
      </c>
      <c r="B18" s="7" t="s">
        <v>71</v>
      </c>
      <c r="C18" s="21">
        <v>356453.84090000001</v>
      </c>
      <c r="D18" s="21">
        <v>473652.79339999997</v>
      </c>
      <c r="E18" s="21">
        <v>594659.59500000009</v>
      </c>
      <c r="F18" s="22">
        <v>668037.95440000005</v>
      </c>
      <c r="G18" s="22">
        <v>820536.61259999988</v>
      </c>
      <c r="H18" s="22">
        <v>995573.09049999993</v>
      </c>
      <c r="I18" s="21">
        <v>1204485.3548999997</v>
      </c>
      <c r="J18" s="21">
        <v>1454573.8673999999</v>
      </c>
    </row>
    <row r="19" spans="1:21" x14ac:dyDescent="0.2">
      <c r="A19" s="18" t="s">
        <v>76</v>
      </c>
      <c r="C19" s="19">
        <v>5113</v>
      </c>
      <c r="D19" s="19">
        <v>8079</v>
      </c>
      <c r="E19" s="18">
        <v>8821</v>
      </c>
      <c r="F19" s="19">
        <v>10028</v>
      </c>
      <c r="G19" s="19">
        <v>10613</v>
      </c>
      <c r="H19" s="19">
        <v>11052</v>
      </c>
      <c r="I19" s="19">
        <v>11743</v>
      </c>
      <c r="J19" s="23">
        <v>12652</v>
      </c>
    </row>
    <row r="20" spans="1:21" x14ac:dyDescent="0.2">
      <c r="A20" s="10" t="s">
        <v>77</v>
      </c>
      <c r="C20" s="18">
        <f>C18/C19</f>
        <v>69.715204557011546</v>
      </c>
      <c r="D20" s="18">
        <f>D18/D19</f>
        <v>58.627651120188141</v>
      </c>
      <c r="E20" s="18">
        <f t="shared" ref="E20:J20" si="1">E18/E19</f>
        <v>67.414079469447913</v>
      </c>
      <c r="F20" s="18">
        <f t="shared" si="1"/>
        <v>66.617267092142001</v>
      </c>
      <c r="G20" s="18">
        <f t="shared" si="1"/>
        <v>77.31429497785733</v>
      </c>
      <c r="H20" s="18">
        <f t="shared" si="1"/>
        <v>90.08080804379297</v>
      </c>
      <c r="I20" s="18">
        <f t="shared" si="1"/>
        <v>102.57049773482072</v>
      </c>
      <c r="J20" s="18">
        <f t="shared" si="1"/>
        <v>114.96789973126778</v>
      </c>
    </row>
    <row r="23" spans="1:21" x14ac:dyDescent="0.2">
      <c r="B23" s="18" t="s">
        <v>78</v>
      </c>
      <c r="C23" s="18">
        <v>2017</v>
      </c>
      <c r="D23" s="18">
        <v>2018</v>
      </c>
      <c r="E23" s="18">
        <v>2019</v>
      </c>
      <c r="F23" s="18">
        <v>2020</v>
      </c>
      <c r="G23" s="18">
        <v>2021</v>
      </c>
      <c r="H23" s="18">
        <v>2022</v>
      </c>
      <c r="I23" s="18">
        <v>2023</v>
      </c>
      <c r="J23" s="18">
        <v>2024</v>
      </c>
      <c r="M23" s="18" t="s">
        <v>45</v>
      </c>
      <c r="N23" s="18">
        <v>2017</v>
      </c>
      <c r="O23" s="18">
        <v>2018</v>
      </c>
      <c r="P23" s="18">
        <v>2019</v>
      </c>
      <c r="Q23" s="18">
        <v>2020</v>
      </c>
      <c r="R23" s="18">
        <v>2021</v>
      </c>
      <c r="S23" s="18">
        <v>2022</v>
      </c>
      <c r="T23" s="18">
        <v>2023</v>
      </c>
      <c r="U23" s="18">
        <v>2024</v>
      </c>
    </row>
    <row r="24" spans="1:21" x14ac:dyDescent="0.2">
      <c r="B24" s="7" t="s">
        <v>3</v>
      </c>
      <c r="C24" s="14">
        <f>(C$18/C$17)*(C3/C$19)/C44*1000000</f>
        <v>1558.9034981724869</v>
      </c>
      <c r="D24" s="14">
        <f t="shared" ref="D24:J24" si="2">(D$18/D$17)*(D3/D$19)/D44*1000000</f>
        <v>1413.4878969382414</v>
      </c>
      <c r="E24" s="14">
        <f t="shared" si="2"/>
        <v>1555.1032154998952</v>
      </c>
      <c r="F24" s="14">
        <f t="shared" si="2"/>
        <v>1458.8594060936991</v>
      </c>
      <c r="G24" s="14">
        <f t="shared" si="2"/>
        <v>1590.6038970010447</v>
      </c>
      <c r="H24" s="14">
        <f t="shared" si="2"/>
        <v>1897.8710727214789</v>
      </c>
      <c r="I24" s="14">
        <f t="shared" si="2"/>
        <v>1949.8991636011572</v>
      </c>
      <c r="J24" s="14">
        <f t="shared" si="2"/>
        <v>2063.8185218166236</v>
      </c>
      <c r="M24" s="7" t="s">
        <v>3</v>
      </c>
      <c r="N24">
        <v>32.700000000000003</v>
      </c>
      <c r="O24">
        <v>30</v>
      </c>
      <c r="P24">
        <v>28.1</v>
      </c>
      <c r="Q24">
        <v>26.4</v>
      </c>
      <c r="R24">
        <v>25.6</v>
      </c>
      <c r="S24">
        <v>21.5</v>
      </c>
      <c r="T24">
        <v>20</v>
      </c>
      <c r="U24">
        <v>20.5</v>
      </c>
    </row>
    <row r="25" spans="1:21" x14ac:dyDescent="0.2">
      <c r="B25" s="7" t="s">
        <v>4</v>
      </c>
      <c r="C25" s="14">
        <f t="shared" ref="C25:J25" si="3">(C$18/C$17)*(C4/C$19)/C45*1000000</f>
        <v>1793.2673606015076</v>
      </c>
      <c r="D25" s="14">
        <f t="shared" si="3"/>
        <v>1495.3257053552124</v>
      </c>
      <c r="E25" s="14">
        <f t="shared" si="3"/>
        <v>1627.9836093962751</v>
      </c>
      <c r="F25" s="14">
        <f t="shared" si="3"/>
        <v>1553.5934495743256</v>
      </c>
      <c r="G25" s="14">
        <f t="shared" si="3"/>
        <v>1619.4059774803452</v>
      </c>
      <c r="H25" s="14">
        <f t="shared" si="3"/>
        <v>2014.1492122298459</v>
      </c>
      <c r="I25" s="14">
        <f t="shared" si="3"/>
        <v>2289.986143424504</v>
      </c>
      <c r="J25" s="14">
        <f t="shared" si="3"/>
        <v>2414.1117262796542</v>
      </c>
      <c r="M25" s="7" t="s">
        <v>4</v>
      </c>
      <c r="N25">
        <v>20.8</v>
      </c>
      <c r="O25">
        <v>22.4</v>
      </c>
      <c r="P25">
        <v>23.6</v>
      </c>
      <c r="Q25">
        <v>22.9</v>
      </c>
      <c r="R25">
        <v>20.100000000000001</v>
      </c>
      <c r="S25">
        <v>23.9</v>
      </c>
      <c r="T25">
        <v>27.8</v>
      </c>
      <c r="U25">
        <v>28.8</v>
      </c>
    </row>
    <row r="26" spans="1:21" x14ac:dyDescent="0.2">
      <c r="B26" s="7" t="s">
        <v>5</v>
      </c>
      <c r="C26" s="14">
        <f t="shared" ref="C26:J26" si="4">(C$18/C$17)*(C5/C$19)/C46*1000000</f>
        <v>2476.3980064145239</v>
      </c>
      <c r="D26" s="14">
        <f t="shared" si="4"/>
        <v>1944.5274327511358</v>
      </c>
      <c r="E26" s="14">
        <f t="shared" si="4"/>
        <v>2194.197075531486</v>
      </c>
      <c r="F26" s="14">
        <f t="shared" si="4"/>
        <v>2082.1780191302905</v>
      </c>
      <c r="G26" s="14">
        <f t="shared" si="4"/>
        <v>2346.6708118097863</v>
      </c>
      <c r="H26" s="14">
        <f t="shared" si="4"/>
        <v>2722.6580287452334</v>
      </c>
      <c r="I26" s="14">
        <f t="shared" si="4"/>
        <v>2998.1544249936396</v>
      </c>
      <c r="J26" s="14">
        <f t="shared" si="4"/>
        <v>3169.2582670540764</v>
      </c>
      <c r="M26" s="7" t="s">
        <v>5</v>
      </c>
      <c r="N26">
        <v>19.7</v>
      </c>
      <c r="O26">
        <v>12.9</v>
      </c>
      <c r="P26">
        <v>19</v>
      </c>
      <c r="Q26">
        <v>16.8</v>
      </c>
      <c r="R26">
        <v>16.5</v>
      </c>
      <c r="S26">
        <v>17.399999999999999</v>
      </c>
      <c r="T26">
        <v>19.100000000000001</v>
      </c>
      <c r="U26">
        <v>19.899999999999999</v>
      </c>
    </row>
    <row r="27" spans="1:21" x14ac:dyDescent="0.2">
      <c r="B27" s="7" t="s">
        <v>6</v>
      </c>
      <c r="C27" s="14">
        <f t="shared" ref="C27:J27" si="5">(C$18/C$17)*(C6/C$19)/C47*1000000</f>
        <v>1945.0021475861897</v>
      </c>
      <c r="D27" s="14">
        <f t="shared" si="5"/>
        <v>1599.6321067356387</v>
      </c>
      <c r="E27" s="14">
        <f t="shared" si="5"/>
        <v>1765.1720465693713</v>
      </c>
      <c r="F27" s="14">
        <f t="shared" si="5"/>
        <v>1705.859376054588</v>
      </c>
      <c r="G27" s="14">
        <f t="shared" si="5"/>
        <v>1965.9726197128794</v>
      </c>
      <c r="H27" s="14">
        <f t="shared" si="5"/>
        <v>2188.9978254300713</v>
      </c>
      <c r="I27" s="14">
        <f t="shared" si="5"/>
        <v>2492.6934416506879</v>
      </c>
      <c r="J27" s="14">
        <f t="shared" si="5"/>
        <v>2585.7712219585069</v>
      </c>
      <c r="M27" s="7" t="s">
        <v>6</v>
      </c>
      <c r="N27">
        <v>14.3</v>
      </c>
      <c r="O27">
        <v>9.1999999999999993</v>
      </c>
      <c r="P27">
        <v>10.1</v>
      </c>
      <c r="Q27">
        <v>11.1</v>
      </c>
      <c r="R27">
        <v>12.2</v>
      </c>
      <c r="S27">
        <v>13.4</v>
      </c>
      <c r="T27">
        <v>16.600000000000001</v>
      </c>
      <c r="U27">
        <v>17.3</v>
      </c>
    </row>
    <row r="28" spans="1:21" x14ac:dyDescent="0.2">
      <c r="B28" s="7" t="s">
        <v>7</v>
      </c>
      <c r="C28" s="14">
        <f t="shared" ref="C28:J28" si="6">(C$18/C$17)*(C7/C$19)/C48*1000000</f>
        <v>2026.8727717737411</v>
      </c>
      <c r="D28" s="14">
        <f t="shared" si="6"/>
        <v>1399.7568822911689</v>
      </c>
      <c r="E28" s="14">
        <f t="shared" si="6"/>
        <v>1491.0557031778328</v>
      </c>
      <c r="F28" s="14">
        <f t="shared" si="6"/>
        <v>1377.7257763165551</v>
      </c>
      <c r="G28" s="14">
        <f t="shared" si="6"/>
        <v>1520.3012875800346</v>
      </c>
      <c r="H28" s="14">
        <f t="shared" si="6"/>
        <v>1759.2767542378567</v>
      </c>
      <c r="I28" s="14">
        <f t="shared" si="6"/>
        <v>1939.532729116341</v>
      </c>
      <c r="J28" s="14">
        <f t="shared" si="6"/>
        <v>2050.6504642756436</v>
      </c>
      <c r="M28" s="7" t="s">
        <v>7</v>
      </c>
      <c r="N28">
        <v>35.200000000000003</v>
      </c>
      <c r="O28">
        <v>17.7</v>
      </c>
      <c r="P28">
        <v>17.8</v>
      </c>
      <c r="Q28">
        <v>16.899999999999999</v>
      </c>
      <c r="R28">
        <v>17</v>
      </c>
      <c r="S28">
        <v>16.5</v>
      </c>
      <c r="T28">
        <v>16.8</v>
      </c>
      <c r="U28">
        <v>17.7</v>
      </c>
    </row>
    <row r="29" spans="1:21" x14ac:dyDescent="0.2">
      <c r="B29" s="7" t="s">
        <v>8</v>
      </c>
      <c r="C29" s="14">
        <f t="shared" ref="C29:J29" si="7">(C$18/C$17)*(C8/C$19)/C49*1000000</f>
        <v>4175.6005168445727</v>
      </c>
      <c r="D29" s="14">
        <f t="shared" si="7"/>
        <v>3927.612896136347</v>
      </c>
      <c r="E29" s="14">
        <f t="shared" si="7"/>
        <v>5498.5439485723437</v>
      </c>
      <c r="F29" s="14">
        <f t="shared" si="7"/>
        <v>6382.6555355449027</v>
      </c>
      <c r="G29" s="14">
        <f t="shared" si="7"/>
        <v>6903.5034304091896</v>
      </c>
      <c r="H29" s="14">
        <f t="shared" si="7"/>
        <v>7245.1688838834689</v>
      </c>
      <c r="I29" s="14">
        <f t="shared" si="7"/>
        <v>8222.7631460062767</v>
      </c>
      <c r="J29" s="14">
        <f t="shared" si="7"/>
        <v>9874.747166791929</v>
      </c>
      <c r="M29" s="7" t="s">
        <v>8</v>
      </c>
      <c r="N29">
        <v>53.9</v>
      </c>
      <c r="O29">
        <v>54.6</v>
      </c>
      <c r="P29">
        <v>65.2</v>
      </c>
      <c r="Q29">
        <v>70.900000000000006</v>
      </c>
      <c r="R29">
        <v>69</v>
      </c>
      <c r="S29">
        <v>67.8</v>
      </c>
      <c r="T29">
        <v>68.400000000000006</v>
      </c>
      <c r="U29">
        <v>72.099999999999994</v>
      </c>
    </row>
    <row r="30" spans="1:21" x14ac:dyDescent="0.2">
      <c r="B30" s="7" t="s">
        <v>9</v>
      </c>
      <c r="C30" s="14">
        <f t="shared" ref="C30:J30" si="8">(C$18/C$17)*(C9/C$19)/C50*1000000</f>
        <v>1512.2771896089218</v>
      </c>
      <c r="D30" s="14">
        <f t="shared" si="8"/>
        <v>1161.3931858463741</v>
      </c>
      <c r="E30" s="14">
        <f t="shared" si="8"/>
        <v>1283.4567753923004</v>
      </c>
      <c r="F30" s="14">
        <f t="shared" si="8"/>
        <v>1267.3006892411047</v>
      </c>
      <c r="G30" s="14">
        <f t="shared" si="8"/>
        <v>1707.6281374904838</v>
      </c>
      <c r="H30" s="14">
        <f t="shared" si="8"/>
        <v>1722.1219587410842</v>
      </c>
      <c r="I30" s="14">
        <f t="shared" si="8"/>
        <v>1909.4096179788285</v>
      </c>
      <c r="J30" s="14">
        <f t="shared" si="8"/>
        <v>2034.6870477661403</v>
      </c>
      <c r="M30" s="7" t="s">
        <v>9</v>
      </c>
      <c r="N30">
        <v>14.9</v>
      </c>
      <c r="O30">
        <v>12.6</v>
      </c>
      <c r="P30">
        <v>12.7</v>
      </c>
      <c r="Q30">
        <v>13.7</v>
      </c>
      <c r="R30">
        <v>14.6</v>
      </c>
      <c r="S30">
        <v>13.9</v>
      </c>
      <c r="T30">
        <v>15.1</v>
      </c>
      <c r="U30">
        <v>16.7</v>
      </c>
    </row>
    <row r="31" spans="1:21" x14ac:dyDescent="0.2">
      <c r="B31" s="7" t="s">
        <v>10</v>
      </c>
      <c r="C31" s="14">
        <f t="shared" ref="C31:J31" si="9">(C$18/C$17)*(C10/C$19)/C51*1000000</f>
        <v>1936.862175533475</v>
      </c>
      <c r="D31" s="14">
        <f t="shared" si="9"/>
        <v>1464.3643849782807</v>
      </c>
      <c r="E31" s="14">
        <f t="shared" si="9"/>
        <v>1517.2045923677015</v>
      </c>
      <c r="F31" s="14">
        <f t="shared" si="9"/>
        <v>1418.5473749752528</v>
      </c>
      <c r="G31" s="14">
        <f t="shared" si="9"/>
        <v>1596.3676288292686</v>
      </c>
      <c r="H31" s="14">
        <f t="shared" si="9"/>
        <v>1780.5835421953993</v>
      </c>
      <c r="I31" s="14">
        <f t="shared" si="9"/>
        <v>1986.4782688406128</v>
      </c>
      <c r="J31" s="14">
        <f t="shared" si="9"/>
        <v>2148.1100271712821</v>
      </c>
      <c r="M31" s="7" t="s">
        <v>10</v>
      </c>
      <c r="N31">
        <v>18.600000000000001</v>
      </c>
      <c r="O31">
        <v>14.7</v>
      </c>
      <c r="P31">
        <v>13.8</v>
      </c>
      <c r="Q31">
        <v>14.7</v>
      </c>
      <c r="R31">
        <v>14.2</v>
      </c>
      <c r="S31">
        <v>15.9</v>
      </c>
      <c r="T31">
        <v>15.6</v>
      </c>
      <c r="U31">
        <v>16.7</v>
      </c>
    </row>
    <row r="32" spans="1:21" x14ac:dyDescent="0.2">
      <c r="B32" s="7" t="s">
        <v>11</v>
      </c>
      <c r="C32" s="14">
        <f t="shared" ref="C32:J32" si="10">(C$18/C$17)*(C11/C$19)/C52*1000000</f>
        <v>1539.2735813187867</v>
      </c>
      <c r="D32" s="14">
        <f t="shared" si="10"/>
        <v>1232.642396480361</v>
      </c>
      <c r="E32" s="14">
        <f t="shared" si="10"/>
        <v>1289.4632296366331</v>
      </c>
      <c r="F32" s="14">
        <f t="shared" si="10"/>
        <v>1197.4612173503103</v>
      </c>
      <c r="G32" s="14">
        <f t="shared" si="10"/>
        <v>1319.6735621178859</v>
      </c>
      <c r="H32" s="14">
        <f t="shared" si="10"/>
        <v>1486.8894438270841</v>
      </c>
      <c r="I32" s="14">
        <f t="shared" si="10"/>
        <v>1647.6199037884928</v>
      </c>
      <c r="J32" s="14">
        <f t="shared" si="10"/>
        <v>1710.1850904150283</v>
      </c>
      <c r="M32" s="7" t="s">
        <v>11</v>
      </c>
      <c r="N32">
        <v>8.1999999999999993</v>
      </c>
      <c r="O32">
        <v>6.6</v>
      </c>
      <c r="P32">
        <v>6.5</v>
      </c>
      <c r="Q32">
        <v>7</v>
      </c>
      <c r="R32">
        <v>7.3</v>
      </c>
      <c r="S32">
        <v>7.3</v>
      </c>
      <c r="T32">
        <v>8.1</v>
      </c>
      <c r="U32">
        <v>9.6</v>
      </c>
    </row>
    <row r="33" spans="1:21" x14ac:dyDescent="0.2">
      <c r="B33" s="7" t="s">
        <v>12</v>
      </c>
      <c r="C33" s="14">
        <f t="shared" ref="C33:J33" si="11">(C$18/C$17)*(C12/C$19)/C53*1000000</f>
        <v>2215.421633294588</v>
      </c>
      <c r="D33" s="14">
        <f t="shared" si="11"/>
        <v>1743.2058572423773</v>
      </c>
      <c r="E33" s="14">
        <f t="shared" si="11"/>
        <v>2125.6973814510502</v>
      </c>
      <c r="F33" s="14">
        <f t="shared" si="11"/>
        <v>1934.1772991275543</v>
      </c>
      <c r="G33" s="14">
        <f t="shared" si="11"/>
        <v>2085.8241797004421</v>
      </c>
      <c r="H33" s="14">
        <f t="shared" si="11"/>
        <v>2386.9024686956704</v>
      </c>
      <c r="I33" s="14">
        <f t="shared" si="11"/>
        <v>2633.7520053098474</v>
      </c>
      <c r="J33" s="14">
        <f t="shared" si="11"/>
        <v>2773.5039016068818</v>
      </c>
      <c r="M33" s="7" t="s">
        <v>12</v>
      </c>
      <c r="N33">
        <v>24.7</v>
      </c>
      <c r="O33">
        <v>21.3</v>
      </c>
      <c r="P33">
        <v>24.1</v>
      </c>
      <c r="Q33">
        <v>23.6</v>
      </c>
      <c r="R33">
        <v>23.8</v>
      </c>
      <c r="S33">
        <v>23.2</v>
      </c>
      <c r="T33">
        <v>26.1</v>
      </c>
      <c r="U33">
        <v>27.3</v>
      </c>
    </row>
    <row r="34" spans="1:21" x14ac:dyDescent="0.2">
      <c r="B34" s="7" t="s">
        <v>13</v>
      </c>
      <c r="C34" s="14">
        <f t="shared" ref="C34:J34" si="12">(C$18/C$17)*(C13/C$19)/C54*1000000</f>
        <v>2722.5461548310445</v>
      </c>
      <c r="D34" s="14">
        <f t="shared" si="12"/>
        <v>2329.7066254182428</v>
      </c>
      <c r="E34" s="14">
        <f t="shared" si="12"/>
        <v>2808.9028720369943</v>
      </c>
      <c r="F34" s="14">
        <f t="shared" si="12"/>
        <v>2798.9230017084446</v>
      </c>
      <c r="G34" s="14">
        <f t="shared" si="12"/>
        <v>3291.8692289089049</v>
      </c>
      <c r="H34" s="14">
        <f t="shared" si="12"/>
        <v>3651.9891302911674</v>
      </c>
      <c r="I34" s="14">
        <f t="shared" si="12"/>
        <v>3991.5163533815598</v>
      </c>
      <c r="J34" s="14">
        <f t="shared" si="12"/>
        <v>4342.1704309470588</v>
      </c>
      <c r="M34" s="7" t="s">
        <v>13</v>
      </c>
      <c r="N34">
        <v>38.700000000000003</v>
      </c>
      <c r="O34">
        <v>40.6</v>
      </c>
      <c r="P34">
        <v>45.9</v>
      </c>
      <c r="Q34">
        <v>47.6</v>
      </c>
      <c r="R34">
        <v>49.2</v>
      </c>
      <c r="S34">
        <v>45.5</v>
      </c>
      <c r="T34">
        <v>44.3</v>
      </c>
      <c r="U34">
        <v>44.5</v>
      </c>
    </row>
    <row r="35" spans="1:21" x14ac:dyDescent="0.2">
      <c r="B35" s="7" t="s">
        <v>14</v>
      </c>
      <c r="C35" s="14">
        <f t="shared" ref="C35:J35" si="13">(C$18/C$17)*(C14/C$19)/C55*1000000</f>
        <v>1539.282206123567</v>
      </c>
      <c r="D35" s="14">
        <f t="shared" si="13"/>
        <v>1267.2915533958596</v>
      </c>
      <c r="E35" s="14">
        <f t="shared" si="13"/>
        <v>1312.7325880967542</v>
      </c>
      <c r="F35" s="14">
        <f t="shared" si="13"/>
        <v>1268.0925124512239</v>
      </c>
      <c r="G35" s="14">
        <f t="shared" si="13"/>
        <v>1489.6334963359204</v>
      </c>
      <c r="H35" s="14">
        <f t="shared" si="13"/>
        <v>1749.5241715918828</v>
      </c>
      <c r="I35" s="14">
        <f t="shared" si="13"/>
        <v>1930.1771863011968</v>
      </c>
      <c r="J35" s="14">
        <f t="shared" si="13"/>
        <v>2035.668373272789</v>
      </c>
      <c r="M35" s="7" t="s">
        <v>14</v>
      </c>
      <c r="N35">
        <v>24.6</v>
      </c>
      <c r="O35">
        <v>19.600000000000001</v>
      </c>
      <c r="P35">
        <v>20.6</v>
      </c>
      <c r="Q35">
        <v>20.8</v>
      </c>
      <c r="R35">
        <v>20.7</v>
      </c>
      <c r="S35">
        <v>18.8</v>
      </c>
      <c r="T35">
        <v>19.3</v>
      </c>
      <c r="U35">
        <v>19.8</v>
      </c>
    </row>
    <row r="36" spans="1:21" x14ac:dyDescent="0.2">
      <c r="B36" s="7" t="s">
        <v>15</v>
      </c>
      <c r="C36" s="14">
        <f t="shared" ref="C36:J36" si="14">(C$18/C$17)*(C15/C$19)/C56*1000000</f>
        <v>1783.7372030183981</v>
      </c>
      <c r="D36" s="14">
        <f t="shared" si="14"/>
        <v>1468.3236113010753</v>
      </c>
      <c r="E36" s="14">
        <f t="shared" si="14"/>
        <v>1549.3337042529031</v>
      </c>
      <c r="F36" s="14">
        <f t="shared" si="14"/>
        <v>1459.981099787233</v>
      </c>
      <c r="G36" s="14">
        <f t="shared" si="14"/>
        <v>1665.3859782240534</v>
      </c>
      <c r="H36" s="14">
        <f t="shared" si="14"/>
        <v>2024.3446346801513</v>
      </c>
      <c r="I36" s="14">
        <f t="shared" si="14"/>
        <v>2194.0530072489773</v>
      </c>
      <c r="J36" s="14">
        <f t="shared" si="14"/>
        <v>2325.3018800328973</v>
      </c>
      <c r="M36" s="7" t="s">
        <v>15</v>
      </c>
      <c r="N36">
        <v>17.3</v>
      </c>
      <c r="O36">
        <v>12.8</v>
      </c>
      <c r="P36">
        <v>12.4</v>
      </c>
      <c r="Q36">
        <v>12.2</v>
      </c>
      <c r="R36">
        <v>13</v>
      </c>
      <c r="S36">
        <v>15.2</v>
      </c>
      <c r="T36">
        <v>15.1</v>
      </c>
      <c r="U36">
        <v>16</v>
      </c>
    </row>
    <row r="37" spans="1:21" x14ac:dyDescent="0.2">
      <c r="B37" s="7" t="s">
        <v>16</v>
      </c>
      <c r="C37" s="14">
        <f t="shared" ref="C37:J37" si="15">(C$18/C$17)*(C16/C$19)/C57*1000000</f>
        <v>4646.5218348172457</v>
      </c>
      <c r="D37" s="14">
        <f t="shared" si="15"/>
        <v>4294.7359771626143</v>
      </c>
      <c r="E37" s="14">
        <f t="shared" si="15"/>
        <v>5018.6131250561448</v>
      </c>
      <c r="F37" s="14">
        <f t="shared" si="15"/>
        <v>4734.9608163934499</v>
      </c>
      <c r="G37" s="14">
        <f t="shared" si="15"/>
        <v>5385.017441306577</v>
      </c>
      <c r="H37" s="14">
        <f t="shared" si="15"/>
        <v>6273.1375167536953</v>
      </c>
      <c r="I37" s="14">
        <f t="shared" si="15"/>
        <v>7158.2557734097409</v>
      </c>
      <c r="J37" s="14">
        <f t="shared" si="15"/>
        <v>8369.7402253810706</v>
      </c>
      <c r="M37" s="7" t="s">
        <v>16</v>
      </c>
      <c r="N37" s="20">
        <v>32.200000000000003</v>
      </c>
      <c r="O37" s="20">
        <v>34.299999999999997</v>
      </c>
      <c r="P37" s="19">
        <v>35.4</v>
      </c>
      <c r="Q37" s="19">
        <v>34.5</v>
      </c>
      <c r="R37" s="19">
        <v>35.1</v>
      </c>
      <c r="S37" s="19">
        <v>31.2</v>
      </c>
      <c r="T37" s="19">
        <v>28.2</v>
      </c>
      <c r="U37" s="23">
        <v>27.8</v>
      </c>
    </row>
    <row r="38" spans="1:21" x14ac:dyDescent="0.2">
      <c r="B38" s="10" t="s">
        <v>48</v>
      </c>
    </row>
    <row r="43" spans="1:21" x14ac:dyDescent="0.2">
      <c r="B43" s="18" t="s">
        <v>80</v>
      </c>
      <c r="C43" s="18">
        <v>2017</v>
      </c>
      <c r="D43" s="18">
        <v>2018</v>
      </c>
      <c r="E43" s="18">
        <v>2019</v>
      </c>
      <c r="F43" s="18">
        <v>2020</v>
      </c>
      <c r="G43" s="18">
        <v>2021</v>
      </c>
      <c r="H43" s="18">
        <v>2022</v>
      </c>
      <c r="I43" s="18">
        <v>2023</v>
      </c>
      <c r="J43" s="18">
        <v>2024</v>
      </c>
      <c r="M43" s="18" t="s">
        <v>46</v>
      </c>
      <c r="N43" s="18">
        <v>2017</v>
      </c>
      <c r="O43" s="18">
        <v>2018</v>
      </c>
      <c r="P43" s="18">
        <v>2019</v>
      </c>
      <c r="Q43" s="18">
        <v>2020</v>
      </c>
      <c r="R43" s="18">
        <v>2021</v>
      </c>
      <c r="S43" s="18">
        <v>2022</v>
      </c>
      <c r="T43" s="18">
        <v>2023</v>
      </c>
      <c r="U43" s="18">
        <v>2024</v>
      </c>
    </row>
    <row r="44" spans="1:21" x14ac:dyDescent="0.2">
      <c r="A44">
        <v>1</v>
      </c>
      <c r="B44" s="7" t="s">
        <v>3</v>
      </c>
      <c r="C44">
        <v>1817.5</v>
      </c>
      <c r="D44">
        <v>1842.3</v>
      </c>
      <c r="E44">
        <v>1869.8</v>
      </c>
      <c r="F44">
        <v>1898.3</v>
      </c>
      <c r="G44">
        <v>1923.7</v>
      </c>
      <c r="H44">
        <v>1948.5</v>
      </c>
      <c r="I44">
        <v>1976.2</v>
      </c>
      <c r="J44">
        <v>2002.7</v>
      </c>
      <c r="M44" s="7" t="s">
        <v>3</v>
      </c>
      <c r="N44">
        <v>7.5</v>
      </c>
      <c r="O44">
        <v>6.7</v>
      </c>
      <c r="P44">
        <v>8.1</v>
      </c>
      <c r="Q44">
        <v>8.6</v>
      </c>
      <c r="R44">
        <v>8</v>
      </c>
      <c r="S44">
        <v>9.3000000000000007</v>
      </c>
      <c r="T44">
        <v>8.3000000000000007</v>
      </c>
      <c r="U44">
        <v>8</v>
      </c>
    </row>
    <row r="45" spans="1:21" x14ac:dyDescent="0.2">
      <c r="A45">
        <v>2</v>
      </c>
      <c r="B45" s="7" t="s">
        <v>4</v>
      </c>
      <c r="C45">
        <v>2962.5</v>
      </c>
      <c r="D45">
        <v>3011.7</v>
      </c>
      <c r="E45">
        <v>3066.9</v>
      </c>
      <c r="F45">
        <v>3127.7</v>
      </c>
      <c r="G45">
        <v>3188.1</v>
      </c>
      <c r="H45">
        <v>3253.5</v>
      </c>
      <c r="I45">
        <v>3322.7</v>
      </c>
      <c r="J45">
        <v>3394.4</v>
      </c>
      <c r="M45" s="7" t="s">
        <v>4</v>
      </c>
      <c r="N45">
        <v>5.6</v>
      </c>
      <c r="O45">
        <v>4.8</v>
      </c>
      <c r="P45">
        <v>4.8</v>
      </c>
      <c r="Q45">
        <v>5.6</v>
      </c>
      <c r="R45">
        <v>5.8</v>
      </c>
      <c r="S45">
        <v>6.8</v>
      </c>
      <c r="T45">
        <v>5.7</v>
      </c>
      <c r="U45">
        <v>5.9</v>
      </c>
    </row>
    <row r="46" spans="1:21" x14ac:dyDescent="0.2">
      <c r="A46">
        <v>3</v>
      </c>
      <c r="B46" s="7" t="s">
        <v>5</v>
      </c>
      <c r="C46">
        <v>1843.5</v>
      </c>
      <c r="D46">
        <v>1870.2</v>
      </c>
      <c r="E46">
        <v>1894.8</v>
      </c>
      <c r="F46">
        <v>1923.9</v>
      </c>
      <c r="G46">
        <v>1947.1</v>
      </c>
      <c r="H46">
        <v>1976.8</v>
      </c>
      <c r="I46">
        <v>2009.7</v>
      </c>
      <c r="J46">
        <v>2044</v>
      </c>
      <c r="M46" s="7" t="s">
        <v>5</v>
      </c>
      <c r="N46">
        <v>9.6999999999999993</v>
      </c>
      <c r="O46">
        <v>7.7</v>
      </c>
      <c r="P46">
        <v>7.4</v>
      </c>
      <c r="Q46">
        <v>8</v>
      </c>
      <c r="R46">
        <v>8.5</v>
      </c>
      <c r="S46">
        <v>10</v>
      </c>
      <c r="T46">
        <v>9.5</v>
      </c>
      <c r="U46">
        <v>9.9</v>
      </c>
    </row>
    <row r="47" spans="1:21" x14ac:dyDescent="0.2">
      <c r="A47">
        <v>4</v>
      </c>
      <c r="B47" s="7" t="s">
        <v>6</v>
      </c>
      <c r="C47">
        <v>1301</v>
      </c>
      <c r="D47">
        <v>1325</v>
      </c>
      <c r="E47">
        <v>1352.4</v>
      </c>
      <c r="F47">
        <v>1382.1</v>
      </c>
      <c r="G47">
        <v>1410.5</v>
      </c>
      <c r="H47">
        <v>1443.4</v>
      </c>
      <c r="I47">
        <v>1475.5</v>
      </c>
      <c r="J47">
        <v>1507.4</v>
      </c>
      <c r="M47" s="7" t="s">
        <v>6</v>
      </c>
      <c r="N47">
        <v>8.1</v>
      </c>
      <c r="O47">
        <v>5.7</v>
      </c>
      <c r="P47">
        <v>7.2</v>
      </c>
      <c r="Q47">
        <v>6.6</v>
      </c>
      <c r="R47">
        <v>5.9</v>
      </c>
      <c r="S47">
        <v>7</v>
      </c>
      <c r="T47">
        <v>6.4</v>
      </c>
      <c r="U47">
        <v>6.2</v>
      </c>
    </row>
    <row r="48" spans="1:21" x14ac:dyDescent="0.2">
      <c r="A48">
        <v>5</v>
      </c>
      <c r="B48" s="7" t="s">
        <v>7</v>
      </c>
      <c r="C48">
        <v>3088.8</v>
      </c>
      <c r="D48">
        <v>3148.4</v>
      </c>
      <c r="E48">
        <v>3213.1</v>
      </c>
      <c r="F48">
        <v>3280.4</v>
      </c>
      <c r="G48">
        <v>3335.4</v>
      </c>
      <c r="H48">
        <v>3408.3</v>
      </c>
      <c r="I48">
        <v>3482.3</v>
      </c>
      <c r="J48">
        <v>3560.6</v>
      </c>
      <c r="M48" s="7" t="s">
        <v>7</v>
      </c>
      <c r="N48">
        <v>7.6</v>
      </c>
      <c r="O48">
        <v>6.5</v>
      </c>
      <c r="P48">
        <v>6.4</v>
      </c>
      <c r="Q48">
        <v>6.2</v>
      </c>
      <c r="R48">
        <v>6.6</v>
      </c>
      <c r="S48">
        <v>7.9</v>
      </c>
      <c r="T48">
        <v>8.1</v>
      </c>
      <c r="U48">
        <v>8</v>
      </c>
    </row>
    <row r="49" spans="1:21" x14ac:dyDescent="0.2">
      <c r="A49">
        <v>6</v>
      </c>
      <c r="B49" s="7" t="s">
        <v>8</v>
      </c>
      <c r="C49">
        <v>942.8</v>
      </c>
      <c r="D49">
        <v>958</v>
      </c>
      <c r="E49">
        <v>979.5</v>
      </c>
      <c r="F49">
        <v>997.1</v>
      </c>
      <c r="G49">
        <v>1013.6</v>
      </c>
      <c r="H49">
        <v>1033.9000000000001</v>
      </c>
      <c r="I49">
        <v>1055.5</v>
      </c>
      <c r="J49">
        <v>1075.3</v>
      </c>
      <c r="M49" s="7" t="s">
        <v>8</v>
      </c>
      <c r="N49">
        <v>4.8</v>
      </c>
      <c r="O49">
        <v>4.5</v>
      </c>
      <c r="P49">
        <v>4.2</v>
      </c>
      <c r="Q49">
        <v>3.4</v>
      </c>
      <c r="R49">
        <v>3.8</v>
      </c>
      <c r="S49">
        <v>4.9000000000000004</v>
      </c>
      <c r="T49">
        <v>4.7</v>
      </c>
      <c r="U49">
        <v>4.2</v>
      </c>
    </row>
    <row r="50" spans="1:21" x14ac:dyDescent="0.2">
      <c r="A50">
        <v>7</v>
      </c>
      <c r="B50" s="7" t="s">
        <v>9</v>
      </c>
      <c r="C50">
        <v>2652.4</v>
      </c>
      <c r="D50">
        <v>2699.6</v>
      </c>
      <c r="E50">
        <v>2752.9</v>
      </c>
      <c r="F50">
        <v>2810.8</v>
      </c>
      <c r="G50">
        <v>2867.5</v>
      </c>
      <c r="H50">
        <v>2931.1</v>
      </c>
      <c r="I50">
        <v>2997.5</v>
      </c>
      <c r="J50">
        <v>3066.1</v>
      </c>
      <c r="M50" s="7" t="s">
        <v>9</v>
      </c>
      <c r="N50">
        <v>6.8</v>
      </c>
      <c r="O50">
        <v>5.5</v>
      </c>
      <c r="P50">
        <v>6.7</v>
      </c>
      <c r="Q50">
        <v>7.5</v>
      </c>
      <c r="R50">
        <v>7.3</v>
      </c>
      <c r="S50">
        <v>8.8000000000000007</v>
      </c>
      <c r="T50">
        <v>8</v>
      </c>
      <c r="U50">
        <v>8</v>
      </c>
    </row>
    <row r="51" spans="1:21" x14ac:dyDescent="0.2">
      <c r="A51">
        <v>8</v>
      </c>
      <c r="B51" s="7" t="s">
        <v>10</v>
      </c>
      <c r="C51">
        <v>3651.7</v>
      </c>
      <c r="D51">
        <v>3720.1</v>
      </c>
      <c r="E51">
        <v>3798.9</v>
      </c>
      <c r="F51">
        <v>3877.4</v>
      </c>
      <c r="G51">
        <v>3947.7</v>
      </c>
      <c r="H51">
        <v>4031.3</v>
      </c>
      <c r="I51">
        <v>4118.2</v>
      </c>
      <c r="J51">
        <v>4208.5</v>
      </c>
      <c r="M51" s="7" t="s">
        <v>10</v>
      </c>
      <c r="N51">
        <v>5.9</v>
      </c>
      <c r="O51">
        <v>4.5999999999999996</v>
      </c>
      <c r="P51">
        <v>5.3</v>
      </c>
      <c r="Q51">
        <v>5.9</v>
      </c>
      <c r="R51">
        <v>6.1</v>
      </c>
      <c r="S51">
        <v>6.5</v>
      </c>
      <c r="T51">
        <v>6.2</v>
      </c>
      <c r="U51">
        <v>5.9</v>
      </c>
    </row>
    <row r="52" spans="1:21" x14ac:dyDescent="0.2">
      <c r="A52">
        <v>9</v>
      </c>
      <c r="B52" s="7" t="s">
        <v>11</v>
      </c>
      <c r="C52">
        <v>2462.3000000000002</v>
      </c>
      <c r="D52">
        <v>2514.1999999999998</v>
      </c>
      <c r="E52">
        <v>2569.9</v>
      </c>
      <c r="F52">
        <v>2629.1</v>
      </c>
      <c r="G52">
        <v>2680.8</v>
      </c>
      <c r="H52">
        <v>2743.2</v>
      </c>
      <c r="I52">
        <v>2806.5</v>
      </c>
      <c r="J52">
        <v>2877.1</v>
      </c>
      <c r="M52" s="7" t="s">
        <v>11</v>
      </c>
      <c r="N52">
        <v>7.7</v>
      </c>
      <c r="O52">
        <v>6.9</v>
      </c>
      <c r="P52">
        <v>8</v>
      </c>
      <c r="Q52">
        <v>8.6</v>
      </c>
      <c r="R52">
        <v>8.6999999999999993</v>
      </c>
      <c r="S52">
        <v>10.6</v>
      </c>
      <c r="T52">
        <v>9.9</v>
      </c>
      <c r="U52">
        <v>9.4</v>
      </c>
    </row>
    <row r="53" spans="1:21" x14ac:dyDescent="0.2">
      <c r="A53">
        <v>10</v>
      </c>
      <c r="B53" s="7" t="s">
        <v>12</v>
      </c>
      <c r="C53">
        <v>803.1</v>
      </c>
      <c r="D53">
        <v>815.9</v>
      </c>
      <c r="E53">
        <v>829.9</v>
      </c>
      <c r="F53">
        <v>846.3</v>
      </c>
      <c r="G53">
        <v>860.9</v>
      </c>
      <c r="H53">
        <v>878.6</v>
      </c>
      <c r="I53">
        <v>896.6</v>
      </c>
      <c r="J53">
        <v>914</v>
      </c>
      <c r="M53" s="7" t="s">
        <v>12</v>
      </c>
      <c r="N53">
        <v>4.9000000000000004</v>
      </c>
      <c r="O53">
        <v>5.5</v>
      </c>
      <c r="P53">
        <v>7.6</v>
      </c>
      <c r="Q53">
        <v>8.5</v>
      </c>
      <c r="R53">
        <v>7.9</v>
      </c>
      <c r="S53">
        <v>8.6999999999999993</v>
      </c>
      <c r="T53">
        <v>8.1999999999999993</v>
      </c>
      <c r="U53">
        <v>7.6</v>
      </c>
    </row>
    <row r="54" spans="1:21" x14ac:dyDescent="0.2">
      <c r="A54">
        <v>11</v>
      </c>
      <c r="B54" s="7" t="s">
        <v>13</v>
      </c>
      <c r="C54">
        <v>2829.3</v>
      </c>
      <c r="D54">
        <v>2861.2</v>
      </c>
      <c r="E54">
        <v>2898.5</v>
      </c>
      <c r="F54">
        <v>2941.9</v>
      </c>
      <c r="G54">
        <v>2975.9</v>
      </c>
      <c r="H54">
        <v>2941.5</v>
      </c>
      <c r="I54">
        <v>2993.4</v>
      </c>
      <c r="J54">
        <v>3051.8</v>
      </c>
      <c r="M54" s="7" t="s">
        <v>13</v>
      </c>
      <c r="N54">
        <v>3.7</v>
      </c>
      <c r="O54">
        <v>3.4</v>
      </c>
      <c r="P54">
        <v>4.7</v>
      </c>
      <c r="Q54">
        <v>4.9000000000000004</v>
      </c>
      <c r="R54">
        <v>5.0999999999999996</v>
      </c>
      <c r="S54">
        <v>7.1</v>
      </c>
      <c r="T54">
        <v>7.2</v>
      </c>
      <c r="U54">
        <v>7.2</v>
      </c>
    </row>
    <row r="55" spans="1:21" x14ac:dyDescent="0.2">
      <c r="A55">
        <v>12</v>
      </c>
      <c r="B55" s="7" t="s">
        <v>14</v>
      </c>
      <c r="C55">
        <v>3564.8</v>
      </c>
      <c r="D55">
        <v>3620.2</v>
      </c>
      <c r="E55">
        <v>3683.3</v>
      </c>
      <c r="F55">
        <v>3752</v>
      </c>
      <c r="G55">
        <v>3820</v>
      </c>
      <c r="H55">
        <v>3896.4</v>
      </c>
      <c r="I55">
        <v>3976.3</v>
      </c>
      <c r="J55">
        <v>4061.5</v>
      </c>
      <c r="M55" s="7" t="s">
        <v>14</v>
      </c>
      <c r="N55">
        <v>6.2</v>
      </c>
      <c r="O55">
        <v>5</v>
      </c>
      <c r="P55">
        <v>5.9</v>
      </c>
      <c r="Q55">
        <v>6.6</v>
      </c>
      <c r="R55">
        <v>6.5</v>
      </c>
      <c r="S55">
        <v>8</v>
      </c>
      <c r="T55">
        <v>7.7</v>
      </c>
      <c r="U55">
        <v>7.3</v>
      </c>
    </row>
    <row r="56" spans="1:21" x14ac:dyDescent="0.2">
      <c r="A56">
        <v>13</v>
      </c>
      <c r="B56" s="7" t="s">
        <v>15</v>
      </c>
      <c r="C56">
        <v>1776.7</v>
      </c>
      <c r="D56">
        <v>1805</v>
      </c>
      <c r="E56">
        <v>1835.7</v>
      </c>
      <c r="F56">
        <v>1866.5</v>
      </c>
      <c r="G56">
        <v>1893.3</v>
      </c>
      <c r="H56">
        <v>1924.2</v>
      </c>
      <c r="I56">
        <v>1958.1</v>
      </c>
      <c r="J56">
        <v>1995.6</v>
      </c>
      <c r="M56" s="7" t="s">
        <v>15</v>
      </c>
      <c r="N56">
        <v>7.2</v>
      </c>
      <c r="O56">
        <v>5.4</v>
      </c>
      <c r="P56">
        <v>6</v>
      </c>
      <c r="Q56">
        <v>6</v>
      </c>
      <c r="R56">
        <v>7.1</v>
      </c>
      <c r="S56">
        <v>8.1999999999999993</v>
      </c>
      <c r="T56">
        <v>8.5</v>
      </c>
      <c r="U56">
        <v>8.9</v>
      </c>
    </row>
    <row r="57" spans="1:21" x14ac:dyDescent="0.2">
      <c r="A57">
        <v>14</v>
      </c>
      <c r="B57" s="7" t="s">
        <v>16</v>
      </c>
      <c r="C57">
        <v>2424.1</v>
      </c>
      <c r="D57">
        <v>2464.9</v>
      </c>
      <c r="E57">
        <v>2509.9</v>
      </c>
      <c r="F57">
        <v>2571.6999999999998</v>
      </c>
      <c r="G57">
        <v>2694.4</v>
      </c>
      <c r="H57">
        <v>2860.6</v>
      </c>
      <c r="I57">
        <v>2956.4</v>
      </c>
      <c r="J57">
        <v>3040.8</v>
      </c>
      <c r="M57" s="7" t="s">
        <v>16</v>
      </c>
      <c r="N57" s="20">
        <v>7.4</v>
      </c>
      <c r="O57" s="20">
        <v>8.1</v>
      </c>
      <c r="P57" s="19">
        <v>9.1999999999999993</v>
      </c>
      <c r="Q57" s="19">
        <v>9.5</v>
      </c>
      <c r="R57" s="19">
        <v>10.1</v>
      </c>
      <c r="S57" s="19">
        <v>11.5</v>
      </c>
      <c r="T57" s="19">
        <v>10.4</v>
      </c>
      <c r="U57" s="23">
        <v>9.1999999999999993</v>
      </c>
    </row>
    <row r="58" spans="1:21" x14ac:dyDescent="0.2">
      <c r="B58" s="7" t="s">
        <v>48</v>
      </c>
      <c r="C58" s="7">
        <f t="shared" ref="C58:J58" si="16">SUM(C44:C57)</f>
        <v>32120.499999999993</v>
      </c>
      <c r="D58" s="7">
        <f t="shared" si="16"/>
        <v>32656.700000000004</v>
      </c>
      <c r="E58" s="7">
        <f t="shared" si="16"/>
        <v>33255.5</v>
      </c>
      <c r="F58" s="7">
        <f t="shared" si="16"/>
        <v>33905.199999999997</v>
      </c>
      <c r="G58" s="7">
        <f t="shared" si="16"/>
        <v>34558.9</v>
      </c>
      <c r="H58" s="7">
        <f t="shared" si="16"/>
        <v>35271.300000000003</v>
      </c>
      <c r="I58" s="7">
        <f t="shared" si="16"/>
        <v>36024.9</v>
      </c>
      <c r="J58" s="7">
        <f t="shared" si="16"/>
        <v>36799.800000000003</v>
      </c>
    </row>
    <row r="62" spans="1:21" x14ac:dyDescent="0.2">
      <c r="B62" s="18" t="s">
        <v>79</v>
      </c>
      <c r="C62" s="18">
        <v>2017</v>
      </c>
      <c r="D62" s="18">
        <v>2018</v>
      </c>
      <c r="E62" s="18">
        <v>2019</v>
      </c>
      <c r="F62" s="18">
        <v>2020</v>
      </c>
      <c r="G62" s="18">
        <v>2021</v>
      </c>
      <c r="H62" s="18">
        <v>2022</v>
      </c>
      <c r="I62" s="18">
        <v>2023</v>
      </c>
      <c r="J62" s="18">
        <v>2024</v>
      </c>
    </row>
    <row r="63" spans="1:21" x14ac:dyDescent="0.2">
      <c r="A63">
        <v>1</v>
      </c>
      <c r="B63" t="s">
        <v>29</v>
      </c>
      <c r="C63" s="20">
        <v>421.9</v>
      </c>
      <c r="D63" s="20">
        <v>427.5</v>
      </c>
      <c r="E63" s="20">
        <v>433.9</v>
      </c>
      <c r="F63" s="20">
        <v>441.7</v>
      </c>
      <c r="G63" s="20">
        <v>450</v>
      </c>
      <c r="H63" s="20">
        <v>458.5</v>
      </c>
      <c r="I63" s="20">
        <v>468.1</v>
      </c>
      <c r="J63" s="20">
        <v>480.8</v>
      </c>
      <c r="K63" s="20"/>
      <c r="M63" s="19" t="s">
        <v>83</v>
      </c>
      <c r="N63" s="18">
        <v>2017</v>
      </c>
      <c r="O63" s="19">
        <v>2018</v>
      </c>
      <c r="P63" s="19">
        <v>2019</v>
      </c>
      <c r="Q63" s="19">
        <v>2020</v>
      </c>
      <c r="R63" s="19">
        <v>2021</v>
      </c>
      <c r="S63" s="19">
        <v>2022</v>
      </c>
      <c r="T63" s="19">
        <v>2023</v>
      </c>
      <c r="U63" s="19">
        <v>2024</v>
      </c>
    </row>
    <row r="64" spans="1:21" x14ac:dyDescent="0.2">
      <c r="A64">
        <v>2</v>
      </c>
      <c r="B64" t="s">
        <v>30</v>
      </c>
      <c r="C64" s="20">
        <v>276</v>
      </c>
      <c r="D64" s="20">
        <v>276.39999999999998</v>
      </c>
      <c r="E64" s="20">
        <v>277.8</v>
      </c>
      <c r="F64" s="20">
        <v>280.2</v>
      </c>
      <c r="G64" s="20">
        <v>281.2</v>
      </c>
      <c r="H64" s="20">
        <v>283.8</v>
      </c>
      <c r="I64" s="20">
        <v>289.2</v>
      </c>
      <c r="J64" s="20">
        <v>294.5</v>
      </c>
      <c r="K64" s="20"/>
      <c r="M64" s="14" t="s">
        <v>3</v>
      </c>
      <c r="N64" s="14">
        <v>44.6</v>
      </c>
      <c r="O64" s="20">
        <v>35.5</v>
      </c>
      <c r="P64" s="20">
        <v>35.700000000000003</v>
      </c>
      <c r="Q64" s="20">
        <v>35.4</v>
      </c>
      <c r="R64" s="20">
        <v>37</v>
      </c>
      <c r="S64" s="20">
        <v>44.3</v>
      </c>
      <c r="T64" s="20">
        <v>46.5</v>
      </c>
      <c r="U64" s="20">
        <v>48</v>
      </c>
    </row>
    <row r="65" spans="1:21" x14ac:dyDescent="0.2">
      <c r="A65">
        <v>3</v>
      </c>
      <c r="B65" t="s">
        <v>31</v>
      </c>
      <c r="C65" s="20">
        <v>169.6</v>
      </c>
      <c r="D65" s="20">
        <v>171.7</v>
      </c>
      <c r="E65" s="20">
        <v>174.4</v>
      </c>
      <c r="F65" s="20">
        <v>177.4</v>
      </c>
      <c r="G65" s="20">
        <v>180.5</v>
      </c>
      <c r="H65" s="20">
        <v>185.1</v>
      </c>
      <c r="I65" s="20">
        <v>191.6</v>
      </c>
      <c r="J65" s="20">
        <v>195.8</v>
      </c>
      <c r="K65" s="20"/>
      <c r="M65" s="14" t="s">
        <v>4</v>
      </c>
      <c r="N65" s="20">
        <v>40.200000000000003</v>
      </c>
      <c r="O65" s="20">
        <v>28.1</v>
      </c>
      <c r="P65" s="20">
        <v>28.4</v>
      </c>
      <c r="Q65" s="20">
        <v>28.8</v>
      </c>
      <c r="R65" s="20">
        <v>30.8</v>
      </c>
      <c r="S65" s="20">
        <v>33.6</v>
      </c>
      <c r="T65" s="20">
        <v>33.200000000000003</v>
      </c>
      <c r="U65" s="20">
        <v>34.299999999999997</v>
      </c>
    </row>
    <row r="66" spans="1:21" x14ac:dyDescent="0.2">
      <c r="A66">
        <v>4</v>
      </c>
      <c r="B66" t="s">
        <v>32</v>
      </c>
      <c r="C66" s="20">
        <v>264.2</v>
      </c>
      <c r="D66" s="20">
        <v>267.60000000000002</v>
      </c>
      <c r="E66" s="20">
        <v>270.7</v>
      </c>
      <c r="F66" s="20">
        <v>274.89999999999998</v>
      </c>
      <c r="G66" s="20">
        <v>278.3</v>
      </c>
      <c r="H66" s="20">
        <v>283.2</v>
      </c>
      <c r="I66" s="20">
        <v>288.89999999999998</v>
      </c>
      <c r="J66" s="20">
        <v>295.60000000000002</v>
      </c>
      <c r="K66" s="20"/>
      <c r="M66" s="14" t="s">
        <v>5</v>
      </c>
      <c r="N66" s="20">
        <v>39.6</v>
      </c>
      <c r="O66" s="20">
        <v>30.7</v>
      </c>
      <c r="P66" s="20">
        <v>30.4</v>
      </c>
      <c r="Q66" s="20">
        <v>29</v>
      </c>
      <c r="R66" s="20">
        <v>29.5</v>
      </c>
      <c r="S66" s="20">
        <v>33.5</v>
      </c>
      <c r="T66" s="20">
        <v>34</v>
      </c>
      <c r="U66" s="20">
        <v>35.200000000000003</v>
      </c>
    </row>
    <row r="67" spans="1:21" x14ac:dyDescent="0.2">
      <c r="A67">
        <v>5</v>
      </c>
      <c r="B67" t="s">
        <v>33</v>
      </c>
      <c r="C67" s="20">
        <v>134.1</v>
      </c>
      <c r="D67" s="20">
        <v>135.6</v>
      </c>
      <c r="E67" s="20">
        <v>136.4</v>
      </c>
      <c r="F67" s="20">
        <v>144.19999999999999</v>
      </c>
      <c r="G67" s="20">
        <v>146.9</v>
      </c>
      <c r="H67" s="20">
        <v>150.6</v>
      </c>
      <c r="I67" s="20">
        <v>156</v>
      </c>
      <c r="J67" s="20">
        <v>161.30000000000001</v>
      </c>
      <c r="K67" s="20"/>
      <c r="M67" s="14" t="s">
        <v>6</v>
      </c>
      <c r="N67" s="20">
        <v>42.4</v>
      </c>
      <c r="O67" s="20">
        <v>29.4</v>
      </c>
      <c r="P67" s="20">
        <v>29.5</v>
      </c>
      <c r="Q67" s="20">
        <v>28.5</v>
      </c>
      <c r="R67" s="20">
        <v>28.4</v>
      </c>
      <c r="S67" s="20">
        <v>32.6</v>
      </c>
      <c r="T67" s="20">
        <v>33.700000000000003</v>
      </c>
      <c r="U67" s="20">
        <v>36</v>
      </c>
    </row>
    <row r="68" spans="1:21" x14ac:dyDescent="0.2">
      <c r="A68">
        <v>6</v>
      </c>
      <c r="B68" t="s">
        <v>34</v>
      </c>
      <c r="C68" s="20">
        <v>590.20000000000005</v>
      </c>
      <c r="D68" s="20">
        <v>600.20000000000005</v>
      </c>
      <c r="E68" s="20">
        <v>612.20000000000005</v>
      </c>
      <c r="F68" s="20">
        <v>626.1</v>
      </c>
      <c r="G68" s="20">
        <v>644.79999999999995</v>
      </c>
      <c r="H68" s="20">
        <v>661.1</v>
      </c>
      <c r="I68" s="20">
        <v>678.2</v>
      </c>
      <c r="J68" s="20">
        <v>696.5</v>
      </c>
      <c r="K68" s="20"/>
      <c r="M68" s="14" t="s">
        <v>7</v>
      </c>
      <c r="N68" s="20">
        <v>34.6</v>
      </c>
      <c r="O68" s="20">
        <v>33.1</v>
      </c>
      <c r="P68" s="20">
        <v>34.700000000000003</v>
      </c>
      <c r="Q68" s="20">
        <v>34.5</v>
      </c>
      <c r="R68" s="20">
        <v>34.299999999999997</v>
      </c>
      <c r="S68" s="20">
        <v>40.1</v>
      </c>
      <c r="T68" s="20">
        <v>40.5</v>
      </c>
      <c r="U68" s="20">
        <v>41.6</v>
      </c>
    </row>
    <row r="69" spans="1:21" x14ac:dyDescent="0.2">
      <c r="A69">
        <v>7</v>
      </c>
      <c r="B69" t="s">
        <v>35</v>
      </c>
      <c r="C69" s="20">
        <v>523.79999999999995</v>
      </c>
      <c r="D69" s="20">
        <v>529.6</v>
      </c>
      <c r="E69" s="20">
        <v>538.20000000000005</v>
      </c>
      <c r="F69" s="20">
        <v>546.29999999999995</v>
      </c>
      <c r="G69" s="20">
        <v>551.70000000000005</v>
      </c>
      <c r="H69" s="20">
        <v>561.70000000000005</v>
      </c>
      <c r="I69" s="20">
        <v>572.79999999999995</v>
      </c>
      <c r="J69" s="20">
        <v>585.20000000000005</v>
      </c>
      <c r="K69" s="20"/>
      <c r="M69" s="14" t="s">
        <v>8</v>
      </c>
      <c r="N69" s="20">
        <v>22.8</v>
      </c>
      <c r="O69" s="20">
        <v>17.8</v>
      </c>
      <c r="P69" s="20">
        <v>14.3</v>
      </c>
      <c r="Q69" s="20">
        <v>11.7</v>
      </c>
      <c r="R69" s="20">
        <v>12.3</v>
      </c>
      <c r="S69" s="20">
        <v>14.1</v>
      </c>
      <c r="T69" s="20">
        <v>13.9</v>
      </c>
      <c r="U69" s="20">
        <v>13</v>
      </c>
    </row>
    <row r="70" spans="1:21" x14ac:dyDescent="0.2">
      <c r="A70">
        <v>8</v>
      </c>
      <c r="B70" t="s">
        <v>36</v>
      </c>
      <c r="C70" s="20">
        <v>142.1</v>
      </c>
      <c r="D70" s="20">
        <v>143.80000000000001</v>
      </c>
      <c r="E70" s="20">
        <v>145.1</v>
      </c>
      <c r="F70" s="20">
        <v>179.6</v>
      </c>
      <c r="G70" s="20">
        <v>182.8</v>
      </c>
      <c r="H70" s="20">
        <v>189.5</v>
      </c>
      <c r="I70" s="20">
        <v>195.7</v>
      </c>
      <c r="J70" s="20">
        <v>201.6</v>
      </c>
      <c r="K70" s="20"/>
      <c r="M70" s="14" t="s">
        <v>9</v>
      </c>
      <c r="N70" s="20">
        <v>47.4</v>
      </c>
      <c r="O70" s="20">
        <v>36.4</v>
      </c>
      <c r="P70" s="20">
        <v>37.4</v>
      </c>
      <c r="Q70" s="20">
        <v>36.4</v>
      </c>
      <c r="R70" s="20">
        <v>36.700000000000003</v>
      </c>
      <c r="S70" s="20">
        <v>43.6</v>
      </c>
      <c r="T70" s="20">
        <v>44.4</v>
      </c>
      <c r="U70" s="20">
        <v>45.5</v>
      </c>
    </row>
    <row r="71" spans="1:21" x14ac:dyDescent="0.2">
      <c r="A71">
        <v>9</v>
      </c>
      <c r="B71" t="s">
        <v>37</v>
      </c>
      <c r="C71" s="20">
        <v>87.5</v>
      </c>
      <c r="D71" s="20">
        <v>88.2</v>
      </c>
      <c r="E71" s="20">
        <v>89</v>
      </c>
      <c r="F71" s="20">
        <v>90.4</v>
      </c>
      <c r="G71" s="20">
        <v>91.3</v>
      </c>
      <c r="H71" s="20">
        <v>93.4</v>
      </c>
      <c r="I71" s="20">
        <v>96.2</v>
      </c>
      <c r="J71" s="20">
        <v>99.3</v>
      </c>
      <c r="K71" s="20"/>
      <c r="M71" s="14" t="s">
        <v>10</v>
      </c>
      <c r="N71" s="20">
        <v>43.3</v>
      </c>
      <c r="O71" s="20">
        <v>33.1</v>
      </c>
      <c r="P71" s="20">
        <v>36.1</v>
      </c>
      <c r="Q71" s="20">
        <v>33.700000000000003</v>
      </c>
      <c r="R71" s="20">
        <v>35.9</v>
      </c>
      <c r="S71" s="20">
        <v>42.5</v>
      </c>
      <c r="T71" s="20">
        <v>43.5</v>
      </c>
      <c r="U71" s="20">
        <v>44.9</v>
      </c>
    </row>
    <row r="72" spans="1:21" x14ac:dyDescent="0.2">
      <c r="A72">
        <v>10</v>
      </c>
      <c r="B72" t="s">
        <v>40</v>
      </c>
      <c r="C72" s="20">
        <v>139.30000000000001</v>
      </c>
      <c r="D72" s="20">
        <v>140.19999999999999</v>
      </c>
      <c r="E72" s="20">
        <v>141.69999999999999</v>
      </c>
      <c r="F72" s="20">
        <v>143.69999999999999</v>
      </c>
      <c r="G72" s="20">
        <v>145</v>
      </c>
      <c r="H72" s="20">
        <v>146.69999999999999</v>
      </c>
      <c r="I72" s="20">
        <v>149.9</v>
      </c>
      <c r="J72" s="20">
        <v>153.1</v>
      </c>
      <c r="K72" s="20"/>
      <c r="M72" s="14" t="s">
        <v>11</v>
      </c>
      <c r="N72" s="20">
        <v>43.8</v>
      </c>
      <c r="O72" s="20">
        <v>35.700000000000003</v>
      </c>
      <c r="P72" s="20">
        <v>35.6</v>
      </c>
      <c r="Q72" s="20">
        <v>35.9</v>
      </c>
      <c r="R72" s="20">
        <v>36.4</v>
      </c>
      <c r="S72" s="20">
        <v>40.5</v>
      </c>
      <c r="T72" s="20">
        <v>40.4</v>
      </c>
      <c r="U72" s="20">
        <v>41.9</v>
      </c>
    </row>
    <row r="73" spans="1:21" x14ac:dyDescent="0.2">
      <c r="A73">
        <v>11</v>
      </c>
      <c r="B73" t="s">
        <v>41</v>
      </c>
      <c r="C73">
        <v>2424.1</v>
      </c>
      <c r="D73">
        <v>2464.9</v>
      </c>
      <c r="E73">
        <v>2509.9</v>
      </c>
      <c r="F73">
        <v>2571.6999999999998</v>
      </c>
      <c r="G73">
        <v>2694.4</v>
      </c>
      <c r="H73">
        <v>2860.6</v>
      </c>
      <c r="I73">
        <v>2956.4</v>
      </c>
      <c r="J73">
        <v>3040.8</v>
      </c>
      <c r="K73" s="20"/>
      <c r="M73" s="14" t="s">
        <v>12</v>
      </c>
      <c r="N73" s="20">
        <v>33.5</v>
      </c>
      <c r="O73" s="20">
        <v>29.8</v>
      </c>
      <c r="P73" s="20">
        <v>27.2</v>
      </c>
      <c r="Q73" s="20">
        <v>28.1</v>
      </c>
      <c r="R73" s="20">
        <v>28</v>
      </c>
      <c r="S73" s="20">
        <v>31.7</v>
      </c>
      <c r="T73" s="20">
        <v>31.3</v>
      </c>
      <c r="U73" s="20">
        <v>32.5</v>
      </c>
    </row>
    <row r="74" spans="1:21" x14ac:dyDescent="0.2">
      <c r="A74">
        <v>12</v>
      </c>
      <c r="B74" t="s">
        <v>39</v>
      </c>
      <c r="C74" s="20">
        <v>0</v>
      </c>
      <c r="D74" s="20">
        <v>47.7</v>
      </c>
      <c r="E74" s="20">
        <v>48.2</v>
      </c>
      <c r="F74" s="20">
        <v>48.7</v>
      </c>
      <c r="G74" s="20">
        <v>51.4</v>
      </c>
      <c r="H74" s="20">
        <v>52.7</v>
      </c>
      <c r="I74" s="20">
        <v>54.1</v>
      </c>
      <c r="J74" s="20">
        <v>56.2</v>
      </c>
      <c r="K74" s="20"/>
      <c r="M74" s="14" t="s">
        <v>13</v>
      </c>
      <c r="N74" s="20">
        <v>34.5</v>
      </c>
      <c r="O74" s="20">
        <v>26.8</v>
      </c>
      <c r="P74" s="20">
        <v>25.1</v>
      </c>
      <c r="Q74" s="20">
        <v>24</v>
      </c>
      <c r="R74" s="20">
        <v>23.2</v>
      </c>
      <c r="S74" s="20">
        <v>27.3</v>
      </c>
      <c r="T74" s="20">
        <v>28.7</v>
      </c>
      <c r="U74" s="20">
        <v>30.6</v>
      </c>
    </row>
    <row r="75" spans="1:21" x14ac:dyDescent="0.2">
      <c r="A75">
        <v>13</v>
      </c>
      <c r="B75" t="s">
        <v>28</v>
      </c>
      <c r="C75" s="20">
        <v>307.39999999999998</v>
      </c>
      <c r="D75" s="20">
        <v>310.89999999999998</v>
      </c>
      <c r="E75" s="20">
        <v>314.89999999999998</v>
      </c>
      <c r="F75" s="20">
        <v>319.60000000000002</v>
      </c>
      <c r="G75" s="20">
        <v>323.8</v>
      </c>
      <c r="H75" s="20">
        <v>329</v>
      </c>
      <c r="I75" s="20">
        <v>334.6</v>
      </c>
      <c r="J75" s="20">
        <v>339.2</v>
      </c>
      <c r="K75" s="20"/>
      <c r="M75" s="14" t="s">
        <v>14</v>
      </c>
      <c r="N75" s="20">
        <v>45.8</v>
      </c>
      <c r="O75" s="20">
        <v>36.299999999999997</v>
      </c>
      <c r="P75" s="20">
        <v>38.299999999999997</v>
      </c>
      <c r="Q75" s="20">
        <v>37.700000000000003</v>
      </c>
      <c r="R75" s="20">
        <v>37.799999999999997</v>
      </c>
      <c r="S75" s="20">
        <v>42.7</v>
      </c>
      <c r="T75" s="20">
        <v>43.3</v>
      </c>
      <c r="U75" s="20">
        <v>44.7</v>
      </c>
    </row>
    <row r="76" spans="1:21" x14ac:dyDescent="0.2">
      <c r="J76">
        <f>SUM(J63:J75)</f>
        <v>6599.9</v>
      </c>
      <c r="M76" s="14" t="s">
        <v>15</v>
      </c>
      <c r="N76" s="20">
        <v>45.1</v>
      </c>
      <c r="O76" s="20">
        <v>33.4</v>
      </c>
      <c r="P76" s="20">
        <v>35.6</v>
      </c>
      <c r="Q76" s="20">
        <v>34.5</v>
      </c>
      <c r="R76" s="20">
        <v>33.799999999999997</v>
      </c>
      <c r="S76" s="20">
        <v>37.200000000000003</v>
      </c>
      <c r="T76" s="20">
        <v>38.6</v>
      </c>
      <c r="U76" s="20">
        <v>40.299999999999997</v>
      </c>
    </row>
    <row r="77" spans="1:21" x14ac:dyDescent="0.2">
      <c r="M77" s="14" t="s">
        <v>16</v>
      </c>
      <c r="N77" s="20">
        <v>60.4</v>
      </c>
      <c r="O77" s="20">
        <v>57.6</v>
      </c>
      <c r="P77" s="19">
        <v>55.4</v>
      </c>
      <c r="Q77" s="19">
        <v>56</v>
      </c>
      <c r="R77" s="19">
        <v>54.8</v>
      </c>
      <c r="S77" s="19">
        <v>57.3</v>
      </c>
      <c r="T77" s="19">
        <v>61.4</v>
      </c>
      <c r="U77" s="23">
        <v>63</v>
      </c>
    </row>
    <row r="80" spans="1:21" x14ac:dyDescent="0.2">
      <c r="I80">
        <f>J76/J58*100</f>
        <v>17.934608340262717</v>
      </c>
      <c r="J80" t="s">
        <v>74</v>
      </c>
    </row>
    <row r="81" spans="2:16" x14ac:dyDescent="0.2">
      <c r="J81" t="s">
        <v>75</v>
      </c>
    </row>
    <row r="82" spans="2:16" x14ac:dyDescent="0.2">
      <c r="B82" s="18"/>
    </row>
    <row r="83" spans="2:16" x14ac:dyDescent="0.2">
      <c r="B83" s="19"/>
      <c r="C83" s="19"/>
      <c r="D83" s="19"/>
      <c r="E83" s="19"/>
      <c r="F83" s="19"/>
      <c r="H83" s="19"/>
      <c r="I83" s="19"/>
      <c r="J83" s="19"/>
      <c r="K83" s="19"/>
      <c r="M83" s="19"/>
      <c r="N83" s="19"/>
      <c r="O83" s="19"/>
      <c r="P83" s="19"/>
    </row>
    <row r="84" spans="2:16" x14ac:dyDescent="0.2">
      <c r="B84" s="19"/>
      <c r="C84" s="20"/>
      <c r="D84" s="20"/>
      <c r="E84" s="20"/>
      <c r="F84" s="20"/>
      <c r="H84" s="19"/>
      <c r="I84" s="20"/>
      <c r="J84" s="20"/>
      <c r="K84" s="20"/>
      <c r="M84" s="20"/>
      <c r="N84" s="19"/>
      <c r="O84" s="19"/>
      <c r="P84" s="19"/>
    </row>
    <row r="85" spans="2:16" x14ac:dyDescent="0.2">
      <c r="B85" s="20"/>
      <c r="C85" s="20"/>
      <c r="D85" s="20"/>
      <c r="E85" s="20"/>
      <c r="F85" s="20"/>
      <c r="H85" s="20"/>
      <c r="I85" s="20"/>
      <c r="J85" s="20"/>
      <c r="K85" s="20"/>
      <c r="M85" s="20"/>
      <c r="N85" s="20"/>
      <c r="O85" s="20"/>
      <c r="P85" s="20"/>
    </row>
    <row r="86" spans="2:16" x14ac:dyDescent="0.2">
      <c r="B86" s="20"/>
      <c r="C86" s="20"/>
      <c r="D86" s="20"/>
      <c r="E86" s="20"/>
      <c r="F86" s="20"/>
      <c r="H86" s="20"/>
      <c r="I86" s="20"/>
      <c r="J86" s="20"/>
      <c r="K86" s="20"/>
      <c r="M86" s="20"/>
      <c r="N86" s="20"/>
      <c r="O86" s="20"/>
      <c r="P86" s="20"/>
    </row>
    <row r="87" spans="2:16" x14ac:dyDescent="0.2">
      <c r="B87" s="20"/>
      <c r="C87" s="20"/>
      <c r="D87" s="20"/>
      <c r="E87" s="20"/>
      <c r="F87" s="20"/>
      <c r="H87" s="20"/>
      <c r="I87" s="20"/>
      <c r="J87" s="20"/>
      <c r="K87" s="20"/>
      <c r="M87" s="20"/>
      <c r="N87" s="20"/>
      <c r="O87" s="20"/>
      <c r="P87" s="20"/>
    </row>
    <row r="88" spans="2:16" x14ac:dyDescent="0.2">
      <c r="B88" s="20"/>
      <c r="C88" s="20"/>
      <c r="D88" s="20"/>
      <c r="E88" s="20"/>
      <c r="F88" s="20"/>
      <c r="H88" s="20"/>
      <c r="I88" s="20"/>
      <c r="J88" s="20"/>
      <c r="K88" s="20"/>
      <c r="M88" s="20"/>
      <c r="N88" s="20"/>
      <c r="O88" s="20"/>
      <c r="P88" s="20"/>
    </row>
    <row r="89" spans="2:16" x14ac:dyDescent="0.2">
      <c r="B89" s="20"/>
      <c r="C89" s="20"/>
      <c r="D89" s="20"/>
      <c r="E89" s="20"/>
      <c r="F89" s="20"/>
      <c r="H89" s="20"/>
      <c r="I89" s="20"/>
      <c r="J89" s="20"/>
      <c r="K89" s="20"/>
      <c r="M89" s="20"/>
      <c r="N89" s="20"/>
      <c r="O89" s="20"/>
      <c r="P89" s="20"/>
    </row>
    <row r="90" spans="2:16" x14ac:dyDescent="0.2">
      <c r="B90" s="20"/>
      <c r="C90" s="20"/>
      <c r="D90" s="20"/>
      <c r="E90" s="20"/>
      <c r="F90" s="20"/>
      <c r="H90" s="20"/>
      <c r="I90" s="20"/>
      <c r="J90" s="20"/>
      <c r="K90" s="20"/>
      <c r="M90" s="20"/>
      <c r="N90" s="20"/>
      <c r="O90" s="20"/>
      <c r="P90" s="20"/>
    </row>
    <row r="91" spans="2:16" x14ac:dyDescent="0.2">
      <c r="B91" s="20"/>
      <c r="C91" s="20"/>
      <c r="D91" s="20"/>
      <c r="E91" s="20"/>
      <c r="F91" s="20"/>
      <c r="H91" s="20"/>
      <c r="I91" s="20"/>
      <c r="J91" s="20"/>
      <c r="K91" s="20"/>
      <c r="M91" s="20"/>
      <c r="N91" s="20"/>
      <c r="O91" s="20"/>
      <c r="P91" s="20"/>
    </row>
    <row r="92" spans="2:16" x14ac:dyDescent="0.2">
      <c r="B92" s="20"/>
      <c r="C92" s="20"/>
      <c r="D92" s="20"/>
      <c r="E92" s="20"/>
      <c r="F92" s="20"/>
      <c r="H92" s="20"/>
      <c r="I92" s="20"/>
      <c r="J92" s="20"/>
      <c r="K92" s="20"/>
      <c r="M92" s="20"/>
      <c r="N92" s="20"/>
      <c r="O92" s="20"/>
      <c r="P92" s="20"/>
    </row>
    <row r="93" spans="2:16" x14ac:dyDescent="0.2">
      <c r="B93" s="20"/>
      <c r="C93" s="20"/>
      <c r="D93" s="20"/>
      <c r="E93" s="20"/>
      <c r="F93" s="20"/>
      <c r="H93" s="20"/>
      <c r="I93" s="20"/>
      <c r="J93" s="20"/>
      <c r="K93" s="20"/>
      <c r="M93" s="20"/>
      <c r="N93" s="20"/>
      <c r="O93" s="20"/>
      <c r="P93" s="20"/>
    </row>
    <row r="94" spans="2:16" x14ac:dyDescent="0.2">
      <c r="B94" s="20"/>
      <c r="C94" s="20"/>
      <c r="D94" s="20"/>
      <c r="E94" s="20"/>
      <c r="F94" s="20"/>
      <c r="H94" s="20"/>
      <c r="I94" s="20"/>
      <c r="J94" s="20"/>
      <c r="K94" s="20"/>
      <c r="M94" s="20"/>
      <c r="N94" s="20"/>
      <c r="O94" s="20"/>
      <c r="P94" s="20"/>
    </row>
    <row r="95" spans="2:16" x14ac:dyDescent="0.2">
      <c r="B95" s="20"/>
      <c r="C95" s="20"/>
      <c r="D95" s="20"/>
      <c r="E95" s="20"/>
      <c r="F95" s="20"/>
      <c r="H95" s="20"/>
      <c r="I95" s="20"/>
      <c r="J95" s="20"/>
      <c r="K95" s="20"/>
      <c r="M95" s="20"/>
      <c r="N95" s="20"/>
      <c r="O95" s="20"/>
      <c r="P95" s="20"/>
    </row>
    <row r="96" spans="2:16" x14ac:dyDescent="0.2">
      <c r="B96" s="20"/>
      <c r="C96" s="20"/>
      <c r="D96" s="20"/>
      <c r="E96" s="20"/>
      <c r="F96" s="20"/>
      <c r="H96" s="20"/>
      <c r="I96" s="20"/>
      <c r="J96" s="20"/>
      <c r="K96" s="20"/>
      <c r="M96" s="20"/>
      <c r="N96" s="20"/>
      <c r="O96" s="20"/>
      <c r="P96" s="20"/>
    </row>
    <row r="97" spans="2:16" x14ac:dyDescent="0.2">
      <c r="B97" s="20"/>
      <c r="C97" s="20"/>
      <c r="D97" s="20"/>
      <c r="E97" s="20"/>
      <c r="F97" s="20"/>
      <c r="H97" s="20"/>
      <c r="I97" s="20"/>
      <c r="J97" s="20"/>
      <c r="K97" s="20"/>
      <c r="M97" s="20"/>
      <c r="N97" s="20"/>
      <c r="O97" s="20"/>
      <c r="P97" s="20"/>
    </row>
    <row r="98" spans="2:16" x14ac:dyDescent="0.2">
      <c r="B98" s="20"/>
      <c r="C98" s="20"/>
      <c r="D98" s="20"/>
      <c r="E98" s="20"/>
      <c r="F98" s="20"/>
      <c r="H98" s="20"/>
      <c r="I98" s="20"/>
      <c r="J98" s="20"/>
      <c r="K98" s="20"/>
      <c r="M98" s="20"/>
      <c r="N98" s="20"/>
      <c r="O98" s="20"/>
      <c r="P98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C6" sqref="C6"/>
    </sheetView>
  </sheetViews>
  <sheetFormatPr baseColWidth="10" defaultColWidth="8.83203125" defaultRowHeight="15" x14ac:dyDescent="0.2"/>
  <sheetData>
    <row r="1" spans="1:3" ht="19" x14ac:dyDescent="0.25">
      <c r="A1" s="1" t="s">
        <v>17</v>
      </c>
    </row>
    <row r="2" spans="1:3" x14ac:dyDescent="0.2">
      <c r="A2" t="s">
        <v>18</v>
      </c>
      <c r="B2" t="s">
        <v>19</v>
      </c>
      <c r="C2" t="s">
        <v>20</v>
      </c>
    </row>
    <row r="3" spans="1:3" x14ac:dyDescent="0.2">
      <c r="A3" t="s">
        <v>18</v>
      </c>
      <c r="B3" t="s">
        <v>21</v>
      </c>
      <c r="C3" s="2" t="s">
        <v>22</v>
      </c>
    </row>
    <row r="5" spans="1:3" x14ac:dyDescent="0.2">
      <c r="C5" t="s">
        <v>84</v>
      </c>
    </row>
  </sheetData>
  <hyperlinks>
    <hyperlink ref="C3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Data</vt:lpstr>
      <vt:lpstr>Sheet1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2025-08-26T17:58:31Z</dcterms:created>
  <dcterms:modified xsi:type="dcterms:W3CDTF">2025-09-28T16:39:47Z</dcterms:modified>
</cp:coreProperties>
</file>