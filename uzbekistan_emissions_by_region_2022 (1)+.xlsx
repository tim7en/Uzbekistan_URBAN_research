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4075" windowHeight="12435" tabRatio="500" activeTab="4"/>
  </bookViews>
  <sheets>
    <sheet name="National Emissions 2022" sheetId="1" r:id="rId1"/>
    <sheet name="Regional Parameters" sheetId="2" r:id="rId2"/>
    <sheet name="Emissions by Region" sheetId="3" r:id="rId3"/>
    <sheet name="Per Capita Analysis" sheetId="4" r:id="rId4"/>
    <sheet name="Methodology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4" l="1"/>
  <c r="I18" i="4" l="1"/>
  <c r="D18" i="4"/>
  <c r="C17" i="4"/>
  <c r="D17" i="4" s="1"/>
  <c r="B17" i="4"/>
  <c r="C16" i="4"/>
  <c r="D16" i="4" s="1"/>
  <c r="B16" i="4"/>
  <c r="C15" i="4"/>
  <c r="D15" i="4" s="1"/>
  <c r="B15" i="4"/>
  <c r="C14" i="4"/>
  <c r="D14" i="4" s="1"/>
  <c r="B14" i="4"/>
  <c r="C13" i="4"/>
  <c r="D13" i="4" s="1"/>
  <c r="B13" i="4"/>
  <c r="C12" i="4"/>
  <c r="D12" i="4" s="1"/>
  <c r="B12" i="4"/>
  <c r="C11" i="4"/>
  <c r="D11" i="4" s="1"/>
  <c r="B11" i="4"/>
  <c r="C10" i="4"/>
  <c r="D10" i="4" s="1"/>
  <c r="B10" i="4"/>
  <c r="C9" i="4"/>
  <c r="D9" i="4" s="1"/>
  <c r="B9" i="4"/>
  <c r="C8" i="4"/>
  <c r="D8" i="4" s="1"/>
  <c r="B8" i="4"/>
  <c r="C7" i="4"/>
  <c r="D7" i="4" s="1"/>
  <c r="B7" i="4"/>
  <c r="C6" i="4"/>
  <c r="D6" i="4" s="1"/>
  <c r="B6" i="4"/>
  <c r="C5" i="4"/>
  <c r="D5" i="4" s="1"/>
  <c r="B5" i="4"/>
  <c r="C4" i="4"/>
  <c r="D4" i="4" s="1"/>
  <c r="B4" i="4"/>
  <c r="K21" i="3"/>
  <c r="L21" i="3" s="1"/>
  <c r="J21" i="3"/>
  <c r="I21" i="3"/>
  <c r="H21" i="3"/>
  <c r="G21" i="3"/>
  <c r="F21" i="3"/>
  <c r="E21" i="3"/>
  <c r="D21" i="3"/>
  <c r="C21" i="3"/>
  <c r="B21" i="3"/>
  <c r="K20" i="3"/>
  <c r="K19" i="3"/>
  <c r="K18" i="3"/>
  <c r="K17" i="3"/>
  <c r="K16" i="3"/>
  <c r="M15" i="3"/>
  <c r="H12" i="4" s="1"/>
  <c r="I12" i="4" s="1"/>
  <c r="K15" i="3"/>
  <c r="K14" i="3"/>
  <c r="K13" i="3"/>
  <c r="K12" i="3"/>
  <c r="K11" i="3"/>
  <c r="K10" i="3"/>
  <c r="K9" i="3"/>
  <c r="K8" i="3"/>
  <c r="K7" i="3"/>
  <c r="D19" i="2"/>
  <c r="C19" i="2"/>
  <c r="B19" i="2"/>
  <c r="E17" i="4" l="1"/>
  <c r="G17" i="4"/>
  <c r="G16" i="4"/>
  <c r="E16" i="4"/>
  <c r="E15" i="4"/>
  <c r="G15" i="4"/>
  <c r="E14" i="4"/>
  <c r="G14" i="4"/>
  <c r="E13" i="4"/>
  <c r="G13" i="4"/>
  <c r="E12" i="4"/>
  <c r="G12" i="4"/>
  <c r="E11" i="4"/>
  <c r="G11" i="4"/>
  <c r="E10" i="4"/>
  <c r="G10" i="4"/>
  <c r="G9" i="4"/>
  <c r="E9" i="4"/>
  <c r="E8" i="4"/>
  <c r="G8" i="4"/>
  <c r="E7" i="4"/>
  <c r="G7" i="4"/>
  <c r="E6" i="4"/>
  <c r="G6" i="4"/>
  <c r="E5" i="4"/>
  <c r="G5" i="4"/>
  <c r="E4" i="4"/>
  <c r="G4" i="4"/>
  <c r="M20" i="3"/>
  <c r="H17" i="4" s="1"/>
  <c r="F17" i="4"/>
  <c r="L20" i="3"/>
  <c r="F16" i="4"/>
  <c r="M19" i="3"/>
  <c r="H16" i="4" s="1"/>
  <c r="I16" i="4" s="1"/>
  <c r="L19" i="3"/>
  <c r="F15" i="4"/>
  <c r="L18" i="3"/>
  <c r="M18" i="3"/>
  <c r="H15" i="4" s="1"/>
  <c r="I15" i="4" s="1"/>
  <c r="M17" i="3"/>
  <c r="H14" i="4" s="1"/>
  <c r="I14" i="4" s="1"/>
  <c r="F14" i="4"/>
  <c r="L17" i="3"/>
  <c r="L16" i="3"/>
  <c r="M16" i="3"/>
  <c r="H13" i="4" s="1"/>
  <c r="I13" i="4" s="1"/>
  <c r="F13" i="4"/>
  <c r="L15" i="3"/>
  <c r="F12" i="4"/>
  <c r="L14" i="3"/>
  <c r="M14" i="3"/>
  <c r="H11" i="4" s="1"/>
  <c r="I11" i="4" s="1"/>
  <c r="F11" i="4"/>
  <c r="L13" i="3"/>
  <c r="F10" i="4"/>
  <c r="M13" i="3"/>
  <c r="H10" i="4" s="1"/>
  <c r="I10" i="4" s="1"/>
  <c r="F9" i="4"/>
  <c r="M12" i="3"/>
  <c r="H9" i="4" s="1"/>
  <c r="I9" i="4" s="1"/>
  <c r="L12" i="3"/>
  <c r="L11" i="3"/>
  <c r="M11" i="3"/>
  <c r="H8" i="4" s="1"/>
  <c r="I8" i="4" s="1"/>
  <c r="F8" i="4"/>
  <c r="F7" i="4"/>
  <c r="L10" i="3"/>
  <c r="M10" i="3"/>
  <c r="H7" i="4" s="1"/>
  <c r="I7" i="4" s="1"/>
  <c r="M9" i="3"/>
  <c r="H6" i="4" s="1"/>
  <c r="I6" i="4" s="1"/>
  <c r="L9" i="3"/>
  <c r="F6" i="4"/>
  <c r="M8" i="3"/>
  <c r="H5" i="4" s="1"/>
  <c r="I5" i="4" s="1"/>
  <c r="L8" i="3"/>
  <c r="F5" i="4"/>
  <c r="L7" i="3"/>
  <c r="F4" i="4"/>
  <c r="M7" i="3"/>
  <c r="M21" i="3" l="1"/>
  <c r="H4" i="4"/>
  <c r="I4" i="4" s="1"/>
</calcChain>
</file>

<file path=xl/sharedStrings.xml><?xml version="1.0" encoding="utf-8"?>
<sst xmlns="http://schemas.openxmlformats.org/spreadsheetml/2006/main" count="206" uniqueCount="169">
  <si>
    <t>UZBEKISTAN GHG EMISSIONS BY SECTOR, 2022</t>
  </si>
  <si>
    <t>Source: BTR1 of Uzbekistan to UNFCCC (2024), National GHG Inventory 1990-2022</t>
  </si>
  <si>
    <t>Sector</t>
  </si>
  <si>
    <t>Emissions (Mt CO2-eq)</t>
  </si>
  <si>
    <t>Share of Total (%)</t>
  </si>
  <si>
    <t>Key Sub-sectors / Notes</t>
  </si>
  <si>
    <t>Energy</t>
  </si>
  <si>
    <t>Electricity/heat generation, residential, transport, fugitive emissions (oil &amp; gas)</t>
  </si>
  <si>
    <t xml:space="preserve">  - Fuel Combustion</t>
  </si>
  <si>
    <t>Power plants, industry, residential heating, transport</t>
  </si>
  <si>
    <t xml:space="preserve">  - Fugitive Emissions</t>
  </si>
  <si>
    <t>Methane leaks from oil/gas extraction, processing, transport</t>
  </si>
  <si>
    <t>IPPU</t>
  </si>
  <si>
    <t>Cement, glass, ceramics, ammonia, steel, ferroalloys, nitric acid</t>
  </si>
  <si>
    <t>Agriculture</t>
  </si>
  <si>
    <t>Livestock (enteric fermentation, manure), rice cultivation, soils (fertilizers)</t>
  </si>
  <si>
    <t>Waste</t>
  </si>
  <si>
    <t>Solid waste disposal, wastewater, waste incineration</t>
  </si>
  <si>
    <t>TOTAL (excl. LULUCF)</t>
  </si>
  <si>
    <t>National total per BTR1</t>
  </si>
  <si>
    <t>LULUCF (net sink)</t>
  </si>
  <si>
    <t>Forest Land, Cropland, Grassland carbon sinks; 80% forests in Karakalpakstan/Navoi/Bukhara</t>
  </si>
  <si>
    <t>NET TOTAL (incl. LULUCF)</t>
  </si>
  <si>
    <t>209.61 - 8.46 = 201.15 Mt CO2-eq (per BTR1)</t>
  </si>
  <si>
    <t>ENERGY SECTOR BREAKDOWN (Estimated for 2022)</t>
  </si>
  <si>
    <t>Energy Sub-sector</t>
  </si>
  <si>
    <t>Share of Energy (%)</t>
  </si>
  <si>
    <t>Regional Relevance</t>
  </si>
  <si>
    <t>Electricity &amp; Heat Generation</t>
  </si>
  <si>
    <t>Concentrated in Tashkent, Navoi, Syrdarya, Kashkadarya (major TPPs)</t>
  </si>
  <si>
    <t>Residential &amp; Commercial</t>
  </si>
  <si>
    <t>Proportional to population; high in Fergana Valley, Tashkent</t>
  </si>
  <si>
    <t>Industry (fuel combustion)</t>
  </si>
  <si>
    <t>Navoi (mining/metallurgy), Tashkent region, Bukhara</t>
  </si>
  <si>
    <t>Transport</t>
  </si>
  <si>
    <t>Urban centers (Tashkent), transit corridors</t>
  </si>
  <si>
    <t>Fugitive Emissions (Oil &amp; Gas)</t>
  </si>
  <si>
    <t>Kashkadarya, Bukhara, Surkhandarya (gas fields)</t>
  </si>
  <si>
    <t>Other Energy</t>
  </si>
  <si>
    <t>Agriculture equipment, military, etc.</t>
  </si>
  <si>
    <t>SUBTOTAL Energy</t>
  </si>
  <si>
    <t>REGIONAL PARAMETERS FOR EMISSIONS ESTIMATION (2022)</t>
  </si>
  <si>
    <t>Sources: Uzstat GRP data; BTR1; IEA Uzbekistan Energy Profile; UNDP CPEIR 2023</t>
  </si>
  <si>
    <t>Region</t>
  </si>
  <si>
    <t>Population
(thousand, 2022)</t>
  </si>
  <si>
    <t>Pop. Share (%)</t>
  </si>
  <si>
    <t>GDP Share (%)</t>
  </si>
  <si>
    <t>Agriculture
Share in GRP (%)</t>
  </si>
  <si>
    <t>Industry
Share in GRP (%)</t>
  </si>
  <si>
    <t>Services
Share in GRP (%)</t>
  </si>
  <si>
    <t>Construction
Share in GRP (%)</t>
  </si>
  <si>
    <t>Key Emitting
Infrastructure</t>
  </si>
  <si>
    <t>Energy
Intensity Factor</t>
  </si>
  <si>
    <t>Fossil Fuel
Production</t>
  </si>
  <si>
    <t>Tashkent City</t>
  </si>
  <si>
    <t>TPPs, industry, transport hub</t>
  </si>
  <si>
    <t>None</t>
  </si>
  <si>
    <t>Tashkent Region</t>
  </si>
  <si>
    <t>Almalyk MMC, Angren TPP, cement</t>
  </si>
  <si>
    <t>Coal (Angren)</t>
  </si>
  <si>
    <t>Navoi Region</t>
  </si>
  <si>
    <t>Navoi MMC (gold/uranium), TPP, chemical</t>
  </si>
  <si>
    <t>Uranium, gold processing</t>
  </si>
  <si>
    <t>Kashkadarya Region</t>
  </si>
  <si>
    <t>Shurtan Gas Chemical, Mubarek GPP</t>
  </si>
  <si>
    <t>Major gas fields</t>
  </si>
  <si>
    <t>Bukhara Region</t>
  </si>
  <si>
    <t>Oil/gas processing, textiles</t>
  </si>
  <si>
    <t>Gas/oil fields</t>
  </si>
  <si>
    <t>Samarkand Region</t>
  </si>
  <si>
    <t>Cement, food processing</t>
  </si>
  <si>
    <t>Minor</t>
  </si>
  <si>
    <t>Fergana Region</t>
  </si>
  <si>
    <t>Oil refinery, chemicals, textiles</t>
  </si>
  <si>
    <t>Oil refinery</t>
  </si>
  <si>
    <t>Andijan Region</t>
  </si>
  <si>
    <t>UzAuto Motors, light industry</t>
  </si>
  <si>
    <t>Minor gas</t>
  </si>
  <si>
    <t>Namangan Region</t>
  </si>
  <si>
    <t>Light industry, food processing</t>
  </si>
  <si>
    <t>Surkhandarya Region</t>
  </si>
  <si>
    <t>Cement (Dzharkurgan), agriculture</t>
  </si>
  <si>
    <t>Gas (Southern fields)</t>
  </si>
  <si>
    <t>Khorezm Region</t>
  </si>
  <si>
    <t>Agriculture, light industry</t>
  </si>
  <si>
    <t>Jizzakh Region</t>
  </si>
  <si>
    <t>Agriculture, emerging FEZ</t>
  </si>
  <si>
    <t>Syrdarya Region</t>
  </si>
  <si>
    <t>Syrdarya TPP (largest in CA)</t>
  </si>
  <si>
    <t>Rep. Karakalpakstan</t>
  </si>
  <si>
    <t>Kungrad soda plant, Ustyurt gas</t>
  </si>
  <si>
    <t>Gas (Ustyurt Plateau)</t>
  </si>
  <si>
    <t>TOTAL</t>
  </si>
  <si>
    <t>ESTIMATED GHG EMISSIONS BY REGION, 2022 (Mt CO2-eq)</t>
  </si>
  <si>
    <t>Methodology: Proxy-based allocation using GDP share, population, sectoral structure, and energy intensity factors</t>
  </si>
  <si>
    <t>Electricity
&amp; Heat
(Mt)</t>
  </si>
  <si>
    <t>Residential
&amp; Commercial
(Mt)</t>
  </si>
  <si>
    <t>Industry
Combustion
(Mt)</t>
  </si>
  <si>
    <t>Transport
(Mt)</t>
  </si>
  <si>
    <t>Fugitive
Emissions
(Mt)</t>
  </si>
  <si>
    <t>IPPU
(Mt)</t>
  </si>
  <si>
    <t>Agriculture
(Mt)</t>
  </si>
  <si>
    <t>Waste
(Mt)</t>
  </si>
  <si>
    <t>LULUCF
(Mt, sink)</t>
  </si>
  <si>
    <t>TOTAL
(Mt CO2-eq)</t>
  </si>
  <si>
    <t>Share of
National (%)</t>
  </si>
  <si>
    <t>NET Total
(incl. LULUCF)</t>
  </si>
  <si>
    <t>Allocation Method →</t>
  </si>
  <si>
    <t>GDP×Energy
Intensity</t>
  </si>
  <si>
    <t>Population
weighted</t>
  </si>
  <si>
    <t>Industry GDP
share</t>
  </si>
  <si>
    <t>Population
+ urbanization</t>
  </si>
  <si>
    <t>Fossil fuel
production proxy</t>
  </si>
  <si>
    <t>Agri GDP
share + land</t>
  </si>
  <si>
    <t>Forest area
share + cropland</t>
  </si>
  <si>
    <t>Sum
(excl. LULUCF)</t>
  </si>
  <si>
    <t>Share</t>
  </si>
  <si>
    <t>Gross - LULUCF</t>
  </si>
  <si>
    <t>NATIONAL TOTAL</t>
  </si>
  <si>
    <t>SUM OF REGIONS</t>
  </si>
  <si>
    <t>PER CAPITA GHG EMISSIONS BY REGION, 2022</t>
  </si>
  <si>
    <t>Population
(thousand)</t>
  </si>
  <si>
    <t>Total Emissions
(Mt CO2-eq)</t>
  </si>
  <si>
    <t>Per Capita
(t CO2-eq/person)</t>
  </si>
  <si>
    <t>Ratio to
National Average</t>
  </si>
  <si>
    <t>Emissions per
GDP unit (proxy)</t>
  </si>
  <si>
    <t>Classification</t>
  </si>
  <si>
    <t>NET Emissions
(incl. LULUCF)</t>
  </si>
  <si>
    <t>Net Per Capita
(t CO2-eq)</t>
  </si>
  <si>
    <t>NATIONAL AVERAGE</t>
  </si>
  <si>
    <t>Benchmark</t>
  </si>
  <si>
    <t>METHODOLOGY NOTES: REGIONAL GHG EMISSIONS ESTIMATION FOR UZBEKISTAN (2022)</t>
  </si>
  <si>
    <t>1. DATA SOURCES</t>
  </si>
  <si>
    <t>- National total: 209.61 Mt CO2-eq from Uzbekistan BTR1 to UNFCCC (National GHG Inventory 1990-2022)</t>
  </si>
  <si>
    <t>- Sector breakdown: BTR1 reports Energy ~66.6%, IPPU ~14.5%, Agriculture ~16.9%, Waste ~2.1%</t>
  </si>
  <si>
    <t>- Energy sub-sectors: IEA Uzbekistan Energy Profile, UNDP CPEIR 2023</t>
  </si>
  <si>
    <t>- Regional GDP/population: Uzstat official GRP reports (2022), stat.uz press releases</t>
  </si>
  <si>
    <t>- Industrial facilities: Known locations of TPPs, mining/metallurgy, gas processing, cement plants</t>
  </si>
  <si>
    <t>2. ALLOCATION METHODOLOGY</t>
  </si>
  <si>
    <t>Each emission category is allocated using the most appropriate proxy:</t>
  </si>
  <si>
    <t>a) Electricity &amp; Heat Generation: GDP share × Energy Intensity Factor (normalized)</t>
  </si>
  <si>
    <t xml:space="preserve">   Energy intensity factors reflect known concentration of power plants (Syrdarya TPP, Navoi TPP, etc.)</t>
  </si>
  <si>
    <t>b) Residential &amp; Commercial: Proportional to population share</t>
  </si>
  <si>
    <t xml:space="preserve">   Assumption: per-household energy use roughly uniform across regions</t>
  </si>
  <si>
    <t>c) Industry (fuel combustion): Industry GDP share = Region GDP share × Industry % in GRP</t>
  </si>
  <si>
    <t xml:space="preserve">   Reflects concentration of heavy industry in Navoi, Tashkent region, Kashkadarya</t>
  </si>
  <si>
    <t>d) Transport: Weighted average of 60% population + 40% GDP</t>
  </si>
  <si>
    <t xml:space="preserve">   Captures both urban passenger transport (population) and freight/logistics (GDP)</t>
  </si>
  <si>
    <t>e) Fugitive Emissions: Expert-assigned weights based on known gas/oil field locations</t>
  </si>
  <si>
    <t xml:space="preserve">   Kashkadarya (Shurtan, Mubarek) ~35%; Bukhara (Gazli) ~25%; Surkhandarya ~10%; Karakalpakstan (Ustyurt) ~12%</t>
  </si>
  <si>
    <t>f) IPPU: Expert-assigned weights based on known industrial facility locations</t>
  </si>
  <si>
    <t xml:space="preserve">   Navoi MMC ~25%; Tashkent region (Almalyk, cement) ~20%; Kashkadarya (gas chemicals) ~12%</t>
  </si>
  <si>
    <t>g) Agriculture: Agriculture GDP share = Region GDP share × Agriculture % in GRP</t>
  </si>
  <si>
    <t xml:space="preserve">   Reflects regional agricultural output (livestock, crops, rice)</t>
  </si>
  <si>
    <t>h) Waste: Proportional to population share</t>
  </si>
  <si>
    <t xml:space="preserve">   Waste generation roughly proportional to population</t>
  </si>
  <si>
    <t>3. LIMITATIONS AND CAVEATS</t>
  </si>
  <si>
    <t>- This is an ESTIMATION MODEL, not a measured inventory. Actual regional emissions may differ significantly.</t>
  </si>
  <si>
    <t>- No bottom-up facility-level emissions data is publicly available for Uzbekistan regions.</t>
  </si>
  <si>
    <t>- Cross-regional infrastructure (pipelines, transmission lines) creates attribution challenges.</t>
  </si>
  <si>
    <t>- The 209.61 Mt total includes all GHGs (CO2, CH4, N2O, HFCs) in CO2-eq using IPCC AR4 GWP values.</t>
  </si>
  <si>
    <t>- Energy intensity factors are approximate and based on known major facility locations.</t>
  </si>
  <si>
    <t>- Fugitive emissions allocation is highly uncertain without facility-level methane measurement data.</t>
  </si>
  <si>
    <t>- This model can be improved with MRV data as Uzbekistan develops its national GHG inventory system.</t>
  </si>
  <si>
    <t>4. RECOMMENDED IMPROVEMENTS</t>
  </si>
  <si>
    <t>- Incorporate facility-level data from upcoming National Registry of GHG Emissions (per Law "On Limiting GHG Emissions", 2025)</t>
  </si>
  <si>
    <t>- Use satellite-derived emissions data (e.g., Climate TRACE, EDGAR) for validation</t>
  </si>
  <si>
    <t>- Integrate energy balance data by region from Ministry of Energy</t>
  </si>
  <si>
    <t>- Cross-validate with regional fuel consumption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</si>
</sst>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\x"/>
  </numFmts>
  <fonts count="15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color rgb="FF006600"/>
      <name val="Arial"/>
      <charset val="1"/>
    </font>
    <font>
      <sz val="10"/>
      <color rgb="FF006600"/>
      <name val="Arial"/>
      <charset val="1"/>
    </font>
    <font>
      <b/>
      <sz val="12"/>
      <color rgb="FF1F4E79"/>
      <name val="Arial"/>
      <charset val="1"/>
    </font>
    <font>
      <b/>
      <sz val="9"/>
      <color rgb="FFCC0000"/>
      <name val="Arial"/>
      <charset val="1"/>
    </font>
    <font>
      <i/>
      <sz val="8"/>
      <color rgb="FFCC0000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4" fontId="5" fillId="0" borderId="1" xfId="0" applyNumberFormat="1" applyFont="1" applyBorder="1"/>
    <xf numFmtId="164" fontId="6" fillId="0" borderId="1" xfId="0" applyNumberFormat="1" applyFont="1" applyBorder="1"/>
    <xf numFmtId="0" fontId="7" fillId="0" borderId="1" xfId="0" applyFont="1" applyBorder="1"/>
    <xf numFmtId="0" fontId="5" fillId="0" borderId="1" xfId="0" applyFont="1" applyBorder="1"/>
    <xf numFmtId="164" fontId="4" fillId="0" borderId="1" xfId="0" applyNumberFormat="1" applyFont="1" applyBorder="1"/>
    <xf numFmtId="0" fontId="8" fillId="0" borderId="1" xfId="0" applyFont="1" applyBorder="1"/>
    <xf numFmtId="4" fontId="9" fillId="0" borderId="1" xfId="0" applyNumberFormat="1" applyFont="1" applyBorder="1"/>
    <xf numFmtId="164" fontId="9" fillId="0" borderId="1" xfId="0" applyNumberFormat="1" applyFont="1" applyBorder="1"/>
    <xf numFmtId="4" fontId="4" fillId="0" borderId="1" xfId="0" applyNumberFormat="1" applyFont="1" applyBorder="1"/>
    <xf numFmtId="0" fontId="10" fillId="0" borderId="0" xfId="0" applyFont="1"/>
    <xf numFmtId="0" fontId="6" fillId="0" borderId="1" xfId="0" applyFont="1" applyBorder="1"/>
    <xf numFmtId="164" fontId="0" fillId="0" borderId="1" xfId="0" applyNumberFormat="1" applyBorder="1"/>
    <xf numFmtId="0" fontId="0" fillId="0" borderId="1" xfId="0" applyBorder="1"/>
    <xf numFmtId="3" fontId="5" fillId="0" borderId="1" xfId="0" applyNumberFormat="1" applyFont="1" applyBorder="1"/>
    <xf numFmtId="164" fontId="5" fillId="0" borderId="1" xfId="0" applyNumberFormat="1" applyFont="1" applyBorder="1"/>
    <xf numFmtId="2" fontId="5" fillId="0" borderId="1" xfId="0" applyNumberFormat="1" applyFont="1" applyBorder="1"/>
    <xf numFmtId="3" fontId="4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center" wrapText="1"/>
    </xf>
    <xf numFmtId="0" fontId="13" fillId="0" borderId="1" xfId="0" applyFont="1" applyBorder="1"/>
    <xf numFmtId="4" fontId="13" fillId="0" borderId="1" xfId="0" applyNumberFormat="1" applyFont="1" applyBorder="1"/>
    <xf numFmtId="4" fontId="8" fillId="0" borderId="1" xfId="0" applyNumberFormat="1" applyFont="1" applyBorder="1"/>
    <xf numFmtId="164" fontId="13" fillId="0" borderId="1" xfId="0" applyNumberFormat="1" applyFont="1" applyBorder="1"/>
    <xf numFmtId="4" fontId="6" fillId="0" borderId="1" xfId="0" applyNumberFormat="1" applyFont="1" applyBorder="1"/>
    <xf numFmtId="3" fontId="6" fillId="0" borderId="1" xfId="0" applyNumberFormat="1" applyFont="1" applyBorder="1"/>
    <xf numFmtId="2" fontId="6" fillId="0" borderId="1" xfId="0" applyNumberFormat="1" applyFont="1" applyBorder="1"/>
    <xf numFmtId="165" fontId="6" fillId="0" borderId="1" xfId="0" applyNumberFormat="1" applyFont="1" applyBorder="1"/>
    <xf numFmtId="2" fontId="9" fillId="0" borderId="1" xfId="0" applyNumberFormat="1" applyFont="1" applyBorder="1"/>
    <xf numFmtId="2" fontId="4" fillId="0" borderId="1" xfId="0" applyNumberFormat="1" applyFont="1" applyBorder="1"/>
    <xf numFmtId="165" fontId="4" fillId="0" borderId="1" xfId="0" applyNumberFormat="1" applyFont="1" applyBorder="1"/>
    <xf numFmtId="0" fontId="14" fillId="0" borderId="0" xfId="0" applyFont="1"/>
    <xf numFmtId="0" fontId="1" fillId="0" borderId="0" xfId="0" applyFont="1"/>
    <xf numFmtId="0" fontId="2" fillId="0" borderId="0" xfId="0" applyFont="1"/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zoomScaleNormal="100" workbookViewId="0">
      <selection sqref="A1:D1"/>
    </sheetView>
  </sheetViews>
  <sheetFormatPr defaultColWidth="8.7109375" defaultRowHeight="15" x14ac:dyDescent="0.25"/>
  <cols>
    <col min="1" max="1" width="28" customWidth="1"/>
    <col min="2" max="2" width="24" customWidth="1"/>
    <col min="3" max="3" width="18" customWidth="1"/>
    <col min="4" max="4" width="60" customWidth="1"/>
  </cols>
  <sheetData>
    <row r="1" spans="1:4" ht="17.25" customHeight="1" x14ac:dyDescent="0.25">
      <c r="A1" s="35" t="s">
        <v>0</v>
      </c>
      <c r="B1" s="35"/>
      <c r="C1" s="35"/>
      <c r="D1" s="35"/>
    </row>
    <row r="2" spans="1:4" ht="15" customHeight="1" x14ac:dyDescent="0.25">
      <c r="A2" s="36" t="s">
        <v>1</v>
      </c>
      <c r="B2" s="36"/>
      <c r="C2" s="36"/>
      <c r="D2" s="36"/>
    </row>
    <row r="4" spans="1:4" ht="26.25" customHeight="1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ht="15" customHeight="1" x14ac:dyDescent="0.25">
      <c r="A5" s="3" t="s">
        <v>6</v>
      </c>
      <c r="B5" s="4">
        <v>139.47999999999999</v>
      </c>
      <c r="C5" s="5">
        <v>0.66559999999999997</v>
      </c>
      <c r="D5" s="6" t="s">
        <v>7</v>
      </c>
    </row>
    <row r="6" spans="1:4" ht="15" customHeight="1" x14ac:dyDescent="0.25">
      <c r="A6" s="7" t="s">
        <v>8</v>
      </c>
      <c r="B6" s="4">
        <v>104</v>
      </c>
      <c r="C6" s="5">
        <v>0.49619999999999997</v>
      </c>
      <c r="D6" s="6" t="s">
        <v>9</v>
      </c>
    </row>
    <row r="7" spans="1:4" ht="15" customHeight="1" x14ac:dyDescent="0.25">
      <c r="A7" s="7" t="s">
        <v>10</v>
      </c>
      <c r="B7" s="4">
        <v>35.479999999999997</v>
      </c>
      <c r="C7" s="5">
        <v>0.16930000000000001</v>
      </c>
      <c r="D7" s="6" t="s">
        <v>11</v>
      </c>
    </row>
    <row r="8" spans="1:4" ht="15" customHeight="1" x14ac:dyDescent="0.25">
      <c r="A8" s="3" t="s">
        <v>12</v>
      </c>
      <c r="B8" s="4">
        <v>30.45</v>
      </c>
      <c r="C8" s="5">
        <v>0.14530000000000001</v>
      </c>
      <c r="D8" s="6" t="s">
        <v>13</v>
      </c>
    </row>
    <row r="9" spans="1:4" ht="15" customHeight="1" x14ac:dyDescent="0.25">
      <c r="A9" s="3" t="s">
        <v>14</v>
      </c>
      <c r="B9" s="4">
        <v>35.32</v>
      </c>
      <c r="C9" s="5">
        <v>0.16850000000000001</v>
      </c>
      <c r="D9" s="6" t="s">
        <v>15</v>
      </c>
    </row>
    <row r="10" spans="1:4" ht="15" customHeight="1" x14ac:dyDescent="0.25">
      <c r="A10" s="3" t="s">
        <v>16</v>
      </c>
      <c r="B10" s="4">
        <v>4.3600000000000003</v>
      </c>
      <c r="C10" s="5">
        <v>2.0799999999999999E-2</v>
      </c>
      <c r="D10" s="6" t="s">
        <v>17</v>
      </c>
    </row>
    <row r="11" spans="1:4" ht="15" customHeight="1" x14ac:dyDescent="0.25">
      <c r="A11" s="3" t="s">
        <v>18</v>
      </c>
      <c r="B11" s="4">
        <v>209.61</v>
      </c>
      <c r="C11" s="8">
        <v>1</v>
      </c>
      <c r="D11" s="6" t="s">
        <v>19</v>
      </c>
    </row>
    <row r="12" spans="1:4" x14ac:dyDescent="0.25">
      <c r="A12" s="9" t="s">
        <v>20</v>
      </c>
      <c r="B12" s="10">
        <v>-8.4600000000000009</v>
      </c>
      <c r="C12" s="11">
        <v>-4.0399999999999998E-2</v>
      </c>
      <c r="D12" s="6" t="s">
        <v>21</v>
      </c>
    </row>
    <row r="13" spans="1:4" x14ac:dyDescent="0.25">
      <c r="A13" s="3" t="s">
        <v>22</v>
      </c>
      <c r="B13" s="12">
        <v>201.15</v>
      </c>
      <c r="C13" s="3"/>
      <c r="D13" s="6" t="s">
        <v>23</v>
      </c>
    </row>
    <row r="14" spans="1:4" ht="15" customHeight="1" x14ac:dyDescent="0.25">
      <c r="A14" s="37" t="s">
        <v>24</v>
      </c>
      <c r="B14" s="37"/>
      <c r="C14" s="37"/>
      <c r="D14" s="37"/>
    </row>
    <row r="15" spans="1:4" ht="26.25" customHeight="1" x14ac:dyDescent="0.25">
      <c r="A15" s="2" t="s">
        <v>25</v>
      </c>
      <c r="B15" s="2" t="s">
        <v>3</v>
      </c>
      <c r="C15" s="2" t="s">
        <v>26</v>
      </c>
      <c r="D15" s="2" t="s">
        <v>27</v>
      </c>
    </row>
    <row r="16" spans="1:4" ht="15" customHeight="1" x14ac:dyDescent="0.25">
      <c r="A16" s="14" t="s">
        <v>28</v>
      </c>
      <c r="B16" s="4">
        <v>48</v>
      </c>
      <c r="C16" s="15">
        <v>0.34399999999999997</v>
      </c>
      <c r="D16" s="6" t="s">
        <v>29</v>
      </c>
    </row>
    <row r="17" spans="1:4" ht="15" customHeight="1" x14ac:dyDescent="0.25">
      <c r="A17" s="14" t="s">
        <v>30</v>
      </c>
      <c r="B17" s="4">
        <v>30</v>
      </c>
      <c r="C17" s="15">
        <v>0.215</v>
      </c>
      <c r="D17" s="6" t="s">
        <v>31</v>
      </c>
    </row>
    <row r="18" spans="1:4" ht="15" customHeight="1" x14ac:dyDescent="0.25">
      <c r="A18" s="14" t="s">
        <v>32</v>
      </c>
      <c r="B18" s="4">
        <v>14</v>
      </c>
      <c r="C18" s="15">
        <v>0.1</v>
      </c>
      <c r="D18" s="6" t="s">
        <v>33</v>
      </c>
    </row>
    <row r="19" spans="1:4" ht="15" customHeight="1" x14ac:dyDescent="0.25">
      <c r="A19" s="14" t="s">
        <v>34</v>
      </c>
      <c r="B19" s="4">
        <v>13</v>
      </c>
      <c r="C19" s="15">
        <v>9.2999999999999999E-2</v>
      </c>
      <c r="D19" s="6" t="s">
        <v>35</v>
      </c>
    </row>
    <row r="20" spans="1:4" ht="15" customHeight="1" x14ac:dyDescent="0.25">
      <c r="A20" s="14" t="s">
        <v>36</v>
      </c>
      <c r="B20" s="4">
        <v>32</v>
      </c>
      <c r="C20" s="15">
        <v>0.22900000000000001</v>
      </c>
      <c r="D20" s="6" t="s">
        <v>37</v>
      </c>
    </row>
    <row r="21" spans="1:4" ht="15" customHeight="1" x14ac:dyDescent="0.25">
      <c r="A21" s="14" t="s">
        <v>38</v>
      </c>
      <c r="B21" s="4">
        <v>2.48</v>
      </c>
      <c r="C21" s="15">
        <v>1.7999999999999999E-2</v>
      </c>
      <c r="D21" s="6" t="s">
        <v>39</v>
      </c>
    </row>
    <row r="22" spans="1:4" ht="15" customHeight="1" x14ac:dyDescent="0.25">
      <c r="A22" s="3" t="s">
        <v>40</v>
      </c>
      <c r="B22" s="4">
        <v>139.47999999999999</v>
      </c>
      <c r="C22" s="16"/>
      <c r="D22" s="6"/>
    </row>
  </sheetData>
  <mergeCells count="3">
    <mergeCell ref="A1:D1"/>
    <mergeCell ref="A2:D2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Normal="100" workbookViewId="0">
      <selection sqref="A1:K1"/>
    </sheetView>
  </sheetViews>
  <sheetFormatPr defaultColWidth="8.7109375" defaultRowHeight="15" x14ac:dyDescent="0.25"/>
  <cols>
    <col min="1" max="1" width="22" customWidth="1"/>
    <col min="2" max="2" width="16" customWidth="1"/>
    <col min="3" max="8" width="14" customWidth="1"/>
    <col min="9" max="9" width="36" customWidth="1"/>
    <col min="10" max="10" width="14" customWidth="1"/>
    <col min="11" max="11" width="22" customWidth="1"/>
  </cols>
  <sheetData>
    <row r="1" spans="1:11" ht="17.25" customHeight="1" x14ac:dyDescent="0.25">
      <c r="A1" s="35" t="s">
        <v>41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" customHeight="1" x14ac:dyDescent="0.25">
      <c r="A2" s="36" t="s">
        <v>42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ht="39" customHeight="1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</row>
    <row r="5" spans="1:11" ht="15" customHeight="1" x14ac:dyDescent="0.25">
      <c r="A5" s="14" t="s">
        <v>54</v>
      </c>
      <c r="B5" s="17">
        <v>2940</v>
      </c>
      <c r="C5" s="5">
        <v>8.4099999999999994E-2</v>
      </c>
      <c r="D5" s="18">
        <v>0.17599999999999999</v>
      </c>
      <c r="E5" s="5">
        <v>0.01</v>
      </c>
      <c r="F5" s="5">
        <v>0.15</v>
      </c>
      <c r="G5" s="5">
        <v>0.62</v>
      </c>
      <c r="H5" s="5">
        <v>0.1</v>
      </c>
      <c r="I5" s="6" t="s">
        <v>55</v>
      </c>
      <c r="J5" s="19">
        <v>0.81</v>
      </c>
      <c r="K5" s="6" t="s">
        <v>56</v>
      </c>
    </row>
    <row r="6" spans="1:11" ht="15" customHeight="1" x14ac:dyDescent="0.25">
      <c r="A6" s="14" t="s">
        <v>57</v>
      </c>
      <c r="B6" s="17">
        <v>2960</v>
      </c>
      <c r="C6" s="5">
        <v>8.4699999999999998E-2</v>
      </c>
      <c r="D6" s="18">
        <v>9.6000000000000002E-2</v>
      </c>
      <c r="E6" s="5">
        <v>0.2</v>
      </c>
      <c r="F6" s="5">
        <v>0.44</v>
      </c>
      <c r="G6" s="5">
        <v>0.25</v>
      </c>
      <c r="H6" s="5">
        <v>7.0000000000000007E-2</v>
      </c>
      <c r="I6" s="6" t="s">
        <v>58</v>
      </c>
      <c r="J6" s="19">
        <v>0.51</v>
      </c>
      <c r="K6" s="6" t="s">
        <v>59</v>
      </c>
    </row>
    <row r="7" spans="1:11" ht="15" customHeight="1" x14ac:dyDescent="0.25">
      <c r="A7" s="14" t="s">
        <v>60</v>
      </c>
      <c r="B7" s="17">
        <v>1020</v>
      </c>
      <c r="C7" s="5">
        <v>2.92E-2</v>
      </c>
      <c r="D7" s="18">
        <v>8.4000000000000005E-2</v>
      </c>
      <c r="E7" s="5">
        <v>0.14000000000000001</v>
      </c>
      <c r="F7" s="5">
        <v>0.73</v>
      </c>
      <c r="G7" s="5">
        <v>0.1</v>
      </c>
      <c r="H7" s="5">
        <v>0.04</v>
      </c>
      <c r="I7" s="6" t="s">
        <v>61</v>
      </c>
      <c r="J7" s="19">
        <v>1.59</v>
      </c>
      <c r="K7" s="6" t="s">
        <v>62</v>
      </c>
    </row>
    <row r="8" spans="1:11" ht="15" customHeight="1" x14ac:dyDescent="0.25">
      <c r="A8" s="14" t="s">
        <v>63</v>
      </c>
      <c r="B8" s="17">
        <v>3320</v>
      </c>
      <c r="C8" s="5">
        <v>9.5000000000000001E-2</v>
      </c>
      <c r="D8" s="18">
        <v>6.3E-2</v>
      </c>
      <c r="E8" s="5">
        <v>0.36</v>
      </c>
      <c r="F8" s="5">
        <v>0.25</v>
      </c>
      <c r="G8" s="5">
        <v>0.31</v>
      </c>
      <c r="H8" s="5">
        <v>7.0000000000000007E-2</v>
      </c>
      <c r="I8" s="6" t="s">
        <v>64</v>
      </c>
      <c r="J8" s="19">
        <v>2.08</v>
      </c>
      <c r="K8" s="6" t="s">
        <v>65</v>
      </c>
    </row>
    <row r="9" spans="1:11" ht="15" customHeight="1" x14ac:dyDescent="0.25">
      <c r="A9" s="14" t="s">
        <v>66</v>
      </c>
      <c r="B9" s="17">
        <v>1960</v>
      </c>
      <c r="C9" s="5">
        <v>5.6099999999999997E-2</v>
      </c>
      <c r="D9" s="18">
        <v>0.05</v>
      </c>
      <c r="E9" s="5">
        <v>0.4</v>
      </c>
      <c r="F9" s="5">
        <v>0.2</v>
      </c>
      <c r="G9" s="5">
        <v>0.28999999999999998</v>
      </c>
      <c r="H9" s="5">
        <v>0.08</v>
      </c>
      <c r="I9" s="6" t="s">
        <v>67</v>
      </c>
      <c r="J9" s="19">
        <v>0.16</v>
      </c>
      <c r="K9" s="6" t="s">
        <v>68</v>
      </c>
    </row>
    <row r="10" spans="1:11" ht="15" customHeight="1" x14ac:dyDescent="0.25">
      <c r="A10" s="14" t="s">
        <v>69</v>
      </c>
      <c r="B10" s="17">
        <v>3950</v>
      </c>
      <c r="C10" s="5">
        <v>0.11310000000000001</v>
      </c>
      <c r="D10" s="18">
        <v>0.06</v>
      </c>
      <c r="E10" s="5">
        <v>0.35</v>
      </c>
      <c r="F10" s="5">
        <v>0.22</v>
      </c>
      <c r="G10" s="5">
        <v>0.33</v>
      </c>
      <c r="H10" s="5">
        <v>0.08</v>
      </c>
      <c r="I10" s="6" t="s">
        <v>70</v>
      </c>
      <c r="J10" s="19">
        <v>0.12</v>
      </c>
      <c r="K10" s="6" t="s">
        <v>71</v>
      </c>
    </row>
    <row r="11" spans="1:11" ht="15" customHeight="1" x14ac:dyDescent="0.25">
      <c r="A11" s="14" t="s">
        <v>72</v>
      </c>
      <c r="B11" s="17">
        <v>3780</v>
      </c>
      <c r="C11" s="5">
        <v>0.1082</v>
      </c>
      <c r="D11" s="18">
        <v>5.6000000000000001E-2</v>
      </c>
      <c r="E11" s="5">
        <v>0.3</v>
      </c>
      <c r="F11" s="5">
        <v>0.22</v>
      </c>
      <c r="G11" s="5">
        <v>0.4</v>
      </c>
      <c r="H11" s="5">
        <v>7.0000000000000007E-2</v>
      </c>
      <c r="I11" s="6" t="s">
        <v>73</v>
      </c>
      <c r="J11" s="19">
        <v>0.12</v>
      </c>
      <c r="K11" s="6" t="s">
        <v>74</v>
      </c>
    </row>
    <row r="12" spans="1:11" ht="15" customHeight="1" x14ac:dyDescent="0.25">
      <c r="A12" s="14" t="s">
        <v>75</v>
      </c>
      <c r="B12" s="17">
        <v>3230</v>
      </c>
      <c r="C12" s="5">
        <v>9.2499999999999999E-2</v>
      </c>
      <c r="D12" s="18">
        <v>5.1999999999999998E-2</v>
      </c>
      <c r="E12" s="5">
        <v>0.38</v>
      </c>
      <c r="F12" s="5">
        <v>0.24</v>
      </c>
      <c r="G12" s="5">
        <v>0.3</v>
      </c>
      <c r="H12" s="5">
        <v>0.06</v>
      </c>
      <c r="I12" s="6" t="s">
        <v>76</v>
      </c>
      <c r="J12" s="19">
        <v>0.12</v>
      </c>
      <c r="K12" s="6" t="s">
        <v>77</v>
      </c>
    </row>
    <row r="13" spans="1:11" ht="15" customHeight="1" x14ac:dyDescent="0.25">
      <c r="A13" s="14" t="s">
        <v>78</v>
      </c>
      <c r="B13" s="17">
        <v>2880</v>
      </c>
      <c r="C13" s="5">
        <v>8.2400000000000001E-2</v>
      </c>
      <c r="D13" s="18">
        <v>4.2000000000000003E-2</v>
      </c>
      <c r="E13" s="5">
        <v>0.32</v>
      </c>
      <c r="F13" s="5">
        <v>0.2</v>
      </c>
      <c r="G13" s="5">
        <v>0.4</v>
      </c>
      <c r="H13" s="5">
        <v>7.0000000000000007E-2</v>
      </c>
      <c r="I13" s="6" t="s">
        <v>79</v>
      </c>
      <c r="J13" s="19">
        <v>0.83</v>
      </c>
      <c r="K13" s="6" t="s">
        <v>56</v>
      </c>
    </row>
    <row r="14" spans="1:11" ht="15" customHeight="1" x14ac:dyDescent="0.25">
      <c r="A14" s="14" t="s">
        <v>80</v>
      </c>
      <c r="B14" s="17">
        <v>2680</v>
      </c>
      <c r="C14" s="5">
        <v>7.6700000000000004E-2</v>
      </c>
      <c r="D14" s="18">
        <v>3.7999999999999999E-2</v>
      </c>
      <c r="E14" s="5">
        <v>0.42</v>
      </c>
      <c r="F14" s="5">
        <v>0.12</v>
      </c>
      <c r="G14" s="5">
        <v>0.36</v>
      </c>
      <c r="H14" s="5">
        <v>0.09</v>
      </c>
      <c r="I14" s="6" t="s">
        <v>81</v>
      </c>
      <c r="J14" s="19">
        <v>0.12</v>
      </c>
      <c r="K14" s="6" t="s">
        <v>82</v>
      </c>
    </row>
    <row r="15" spans="1:11" ht="15" customHeight="1" x14ac:dyDescent="0.25">
      <c r="A15" s="14" t="s">
        <v>83</v>
      </c>
      <c r="B15" s="17">
        <v>1910</v>
      </c>
      <c r="C15" s="5">
        <v>5.4699999999999999E-2</v>
      </c>
      <c r="D15" s="18">
        <v>3.3000000000000002E-2</v>
      </c>
      <c r="E15" s="5">
        <v>0.35</v>
      </c>
      <c r="F15" s="5">
        <v>0.18</v>
      </c>
      <c r="G15" s="5">
        <v>0.38</v>
      </c>
      <c r="H15" s="5">
        <v>0.08</v>
      </c>
      <c r="I15" s="6" t="s">
        <v>84</v>
      </c>
      <c r="J15" s="19">
        <v>0.12</v>
      </c>
      <c r="K15" s="6" t="s">
        <v>56</v>
      </c>
    </row>
    <row r="16" spans="1:11" ht="15" customHeight="1" x14ac:dyDescent="0.25">
      <c r="A16" s="14" t="s">
        <v>85</v>
      </c>
      <c r="B16" s="17">
        <v>1400</v>
      </c>
      <c r="C16" s="5">
        <v>4.0099999999999997E-2</v>
      </c>
      <c r="D16" s="18">
        <v>2.7E-2</v>
      </c>
      <c r="E16" s="5">
        <v>0.48</v>
      </c>
      <c r="F16" s="5">
        <v>0.15</v>
      </c>
      <c r="G16" s="5">
        <v>0.28000000000000003</v>
      </c>
      <c r="H16" s="5">
        <v>0.08</v>
      </c>
      <c r="I16" s="6" t="s">
        <v>86</v>
      </c>
      <c r="J16" s="19">
        <v>0.12</v>
      </c>
      <c r="K16" s="6" t="s">
        <v>56</v>
      </c>
    </row>
    <row r="17" spans="1:11" ht="15" customHeight="1" x14ac:dyDescent="0.25">
      <c r="A17" s="14" t="s">
        <v>87</v>
      </c>
      <c r="B17" s="17">
        <v>870</v>
      </c>
      <c r="C17" s="5">
        <v>2.4899999999999999E-2</v>
      </c>
      <c r="D17" s="18">
        <v>1.9E-2</v>
      </c>
      <c r="E17" s="5">
        <v>0.3</v>
      </c>
      <c r="F17" s="5">
        <v>0.3</v>
      </c>
      <c r="G17" s="5">
        <v>0.3</v>
      </c>
      <c r="H17" s="5">
        <v>0.08</v>
      </c>
      <c r="I17" s="6" t="s">
        <v>88</v>
      </c>
      <c r="J17" s="19">
        <v>12.98</v>
      </c>
      <c r="K17" s="6" t="s">
        <v>56</v>
      </c>
    </row>
    <row r="18" spans="1:11" ht="15" customHeight="1" x14ac:dyDescent="0.25">
      <c r="A18" s="14" t="s">
        <v>89</v>
      </c>
      <c r="B18" s="17">
        <v>1930</v>
      </c>
      <c r="C18" s="5">
        <v>5.5300000000000002E-2</v>
      </c>
      <c r="D18" s="18">
        <v>2.8000000000000001E-2</v>
      </c>
      <c r="E18" s="5">
        <v>0.28000000000000003</v>
      </c>
      <c r="F18" s="5">
        <v>0.3</v>
      </c>
      <c r="G18" s="5">
        <v>0.35</v>
      </c>
      <c r="H18" s="5">
        <v>0.08</v>
      </c>
      <c r="I18" s="6" t="s">
        <v>90</v>
      </c>
      <c r="J18" s="19">
        <v>1.65</v>
      </c>
      <c r="K18" s="6" t="s">
        <v>91</v>
      </c>
    </row>
    <row r="19" spans="1:11" ht="15" customHeight="1" x14ac:dyDescent="0.25">
      <c r="A19" s="3" t="s">
        <v>92</v>
      </c>
      <c r="B19" s="20">
        <f>SUM(B5:B18)</f>
        <v>34830</v>
      </c>
      <c r="C19" s="8">
        <f>SUM(C5:C18)</f>
        <v>0.99700000000000011</v>
      </c>
      <c r="D19" s="8">
        <f>SUM(D5:D18)</f>
        <v>0.82400000000000029</v>
      </c>
      <c r="E19" s="16"/>
      <c r="F19" s="16"/>
      <c r="G19" s="16"/>
      <c r="H19" s="16"/>
      <c r="I19" s="16"/>
      <c r="J19" s="16"/>
      <c r="K19" s="16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Normal="100" workbookViewId="0">
      <selection sqref="A1:K1"/>
    </sheetView>
  </sheetViews>
  <sheetFormatPr defaultColWidth="8.7109375" defaultRowHeight="15" x14ac:dyDescent="0.25"/>
  <cols>
    <col min="1" max="1" width="22" customWidth="1"/>
    <col min="2" max="12" width="14" customWidth="1"/>
    <col min="13" max="13" width="16" customWidth="1"/>
  </cols>
  <sheetData>
    <row r="1" spans="1:13" ht="17.25" customHeight="1" x14ac:dyDescent="0.25">
      <c r="A1" s="35" t="s">
        <v>93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3" ht="15" customHeight="1" x14ac:dyDescent="0.25">
      <c r="A2" s="36" t="s">
        <v>94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3" ht="51.75" customHeight="1" x14ac:dyDescent="0.25">
      <c r="A4" s="2" t="s">
        <v>43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</row>
    <row r="5" spans="1:13" ht="18.75" customHeight="1" x14ac:dyDescent="0.25">
      <c r="A5" s="21" t="s">
        <v>107</v>
      </c>
      <c r="B5" s="22" t="s">
        <v>108</v>
      </c>
      <c r="C5" s="22" t="s">
        <v>109</v>
      </c>
      <c r="D5" s="22" t="s">
        <v>110</v>
      </c>
      <c r="E5" s="22" t="s">
        <v>111</v>
      </c>
      <c r="F5" s="22" t="s">
        <v>112</v>
      </c>
      <c r="G5" s="22" t="s">
        <v>110</v>
      </c>
      <c r="H5" s="22" t="s">
        <v>113</v>
      </c>
      <c r="I5" s="22" t="s">
        <v>109</v>
      </c>
      <c r="J5" s="22" t="s">
        <v>114</v>
      </c>
      <c r="K5" s="22" t="s">
        <v>115</v>
      </c>
      <c r="L5" s="22" t="s">
        <v>116</v>
      </c>
      <c r="M5" s="22" t="s">
        <v>117</v>
      </c>
    </row>
    <row r="6" spans="1:13" ht="15" customHeight="1" x14ac:dyDescent="0.25">
      <c r="A6" s="23" t="s">
        <v>118</v>
      </c>
      <c r="B6" s="24">
        <v>50.48</v>
      </c>
      <c r="C6" s="24">
        <v>30</v>
      </c>
      <c r="D6" s="24">
        <v>14</v>
      </c>
      <c r="E6" s="24">
        <v>13</v>
      </c>
      <c r="F6" s="24">
        <v>32</v>
      </c>
      <c r="G6" s="24">
        <v>30.45</v>
      </c>
      <c r="H6" s="24">
        <v>35.32</v>
      </c>
      <c r="I6" s="24">
        <v>4.3600000000000003</v>
      </c>
      <c r="J6" s="25">
        <v>-8.4600000000000009</v>
      </c>
      <c r="K6" s="24">
        <v>209.61</v>
      </c>
      <c r="L6" s="26">
        <v>1</v>
      </c>
      <c r="M6" s="25">
        <v>201.15</v>
      </c>
    </row>
    <row r="7" spans="1:13" ht="15" customHeight="1" x14ac:dyDescent="0.25">
      <c r="A7" s="14" t="s">
        <v>54</v>
      </c>
      <c r="B7" s="27">
        <v>8.67</v>
      </c>
      <c r="C7" s="27">
        <v>2.52</v>
      </c>
      <c r="D7" s="27">
        <v>1.6</v>
      </c>
      <c r="E7" s="27">
        <v>1.69</v>
      </c>
      <c r="F7" s="27">
        <v>0.65</v>
      </c>
      <c r="G7" s="27">
        <v>1.22</v>
      </c>
      <c r="H7" s="27">
        <v>0.31</v>
      </c>
      <c r="I7" s="27">
        <v>0.37</v>
      </c>
      <c r="J7" s="10">
        <v>-0.06</v>
      </c>
      <c r="K7" s="12">
        <f t="shared" ref="K7:K20" si="0">SUM(B7:I7)</f>
        <v>17.029999999999998</v>
      </c>
      <c r="L7" s="5">
        <f t="shared" ref="L7:L20" si="1">K7/K$6</f>
        <v>8.1246123753637697E-2</v>
      </c>
      <c r="M7" s="10">
        <f t="shared" ref="M7:M20" si="2">K7+J7</f>
        <v>16.97</v>
      </c>
    </row>
    <row r="8" spans="1:13" ht="15" customHeight="1" x14ac:dyDescent="0.25">
      <c r="A8" s="14" t="s">
        <v>57</v>
      </c>
      <c r="B8" s="27">
        <v>2.98</v>
      </c>
      <c r="C8" s="27">
        <v>2.54</v>
      </c>
      <c r="D8" s="27">
        <v>2.56</v>
      </c>
      <c r="E8" s="27">
        <v>1.25</v>
      </c>
      <c r="F8" s="27">
        <v>0.65</v>
      </c>
      <c r="G8" s="27">
        <v>5.48</v>
      </c>
      <c r="H8" s="27">
        <v>3.38</v>
      </c>
      <c r="I8" s="27">
        <v>0.37</v>
      </c>
      <c r="J8" s="10">
        <v>-0.43</v>
      </c>
      <c r="K8" s="12">
        <f t="shared" si="0"/>
        <v>19.21</v>
      </c>
      <c r="L8" s="5">
        <f t="shared" si="1"/>
        <v>9.1646390916463913E-2</v>
      </c>
      <c r="M8" s="10">
        <f t="shared" si="2"/>
        <v>18.78</v>
      </c>
    </row>
    <row r="9" spans="1:13" ht="15" customHeight="1" x14ac:dyDescent="0.25">
      <c r="A9" s="14" t="s">
        <v>60</v>
      </c>
      <c r="B9" s="27">
        <v>8.06</v>
      </c>
      <c r="C9" s="27">
        <v>0.88</v>
      </c>
      <c r="D9" s="27">
        <v>3.72</v>
      </c>
      <c r="E9" s="27">
        <v>0.72</v>
      </c>
      <c r="F9" s="27">
        <v>0.33</v>
      </c>
      <c r="G9" s="27">
        <v>5.48</v>
      </c>
      <c r="H9" s="27">
        <v>2.0699999999999998</v>
      </c>
      <c r="I9" s="27">
        <v>0.13</v>
      </c>
      <c r="J9" s="10">
        <v>-1.54</v>
      </c>
      <c r="K9" s="12">
        <f t="shared" si="0"/>
        <v>21.390000000000004</v>
      </c>
      <c r="L9" s="5">
        <f t="shared" si="1"/>
        <v>0.10204665807929013</v>
      </c>
      <c r="M9" s="10">
        <f t="shared" si="2"/>
        <v>19.850000000000005</v>
      </c>
    </row>
    <row r="10" spans="1:13" ht="15" customHeight="1" x14ac:dyDescent="0.25">
      <c r="A10" s="14" t="s">
        <v>63</v>
      </c>
      <c r="B10" s="27">
        <v>7.93</v>
      </c>
      <c r="C10" s="27">
        <v>2.85</v>
      </c>
      <c r="D10" s="27">
        <v>0.96</v>
      </c>
      <c r="E10" s="27">
        <v>1.1499999999999999</v>
      </c>
      <c r="F10" s="27">
        <v>12.41</v>
      </c>
      <c r="G10" s="27">
        <v>3.04</v>
      </c>
      <c r="H10" s="27">
        <v>4</v>
      </c>
      <c r="I10" s="27">
        <v>0.41</v>
      </c>
      <c r="J10" s="10">
        <v>-0.63</v>
      </c>
      <c r="K10" s="12">
        <f t="shared" si="0"/>
        <v>32.749999999999993</v>
      </c>
      <c r="L10" s="5">
        <f t="shared" si="1"/>
        <v>0.15624254568007248</v>
      </c>
      <c r="M10" s="10">
        <f t="shared" si="2"/>
        <v>32.11999999999999</v>
      </c>
    </row>
    <row r="11" spans="1:13" ht="15" customHeight="1" x14ac:dyDescent="0.25">
      <c r="A11" s="14" t="s">
        <v>66</v>
      </c>
      <c r="B11" s="27">
        <v>0.49</v>
      </c>
      <c r="C11" s="27">
        <v>1.68</v>
      </c>
      <c r="D11" s="27">
        <v>0.61</v>
      </c>
      <c r="E11" s="27">
        <v>0.75</v>
      </c>
      <c r="F11" s="27">
        <v>8.82</v>
      </c>
      <c r="G11" s="27">
        <v>0.91</v>
      </c>
      <c r="H11" s="27">
        <v>3.52</v>
      </c>
      <c r="I11" s="27">
        <v>0.24</v>
      </c>
      <c r="J11" s="10">
        <v>-1.37</v>
      </c>
      <c r="K11" s="12">
        <f t="shared" si="0"/>
        <v>17.02</v>
      </c>
      <c r="L11" s="5">
        <f t="shared" si="1"/>
        <v>8.1198416106101803E-2</v>
      </c>
      <c r="M11" s="10">
        <f t="shared" si="2"/>
        <v>15.649999999999999</v>
      </c>
    </row>
    <row r="12" spans="1:13" ht="15" customHeight="1" x14ac:dyDescent="0.25">
      <c r="A12" s="14" t="s">
        <v>69</v>
      </c>
      <c r="B12" s="27">
        <v>0.59</v>
      </c>
      <c r="C12" s="27">
        <v>3.39</v>
      </c>
      <c r="D12" s="27">
        <v>0.8</v>
      </c>
      <c r="E12" s="27">
        <v>1.29</v>
      </c>
      <c r="F12" s="27">
        <v>0.33</v>
      </c>
      <c r="G12" s="27">
        <v>1.83</v>
      </c>
      <c r="H12" s="27">
        <v>3.7</v>
      </c>
      <c r="I12" s="27">
        <v>0.49</v>
      </c>
      <c r="J12" s="10">
        <v>-0.42</v>
      </c>
      <c r="K12" s="12">
        <f t="shared" si="0"/>
        <v>12.42</v>
      </c>
      <c r="L12" s="5">
        <f t="shared" si="1"/>
        <v>5.9252898239587799E-2</v>
      </c>
      <c r="M12" s="10">
        <f t="shared" si="2"/>
        <v>12</v>
      </c>
    </row>
    <row r="13" spans="1:13" ht="15" customHeight="1" x14ac:dyDescent="0.25">
      <c r="A13" s="14" t="s">
        <v>72</v>
      </c>
      <c r="B13" s="27">
        <v>0.56000000000000005</v>
      </c>
      <c r="C13" s="27">
        <v>3.25</v>
      </c>
      <c r="D13" s="27">
        <v>0.75</v>
      </c>
      <c r="E13" s="27">
        <v>1.22</v>
      </c>
      <c r="F13" s="27">
        <v>1.31</v>
      </c>
      <c r="G13" s="27">
        <v>2.44</v>
      </c>
      <c r="H13" s="27">
        <v>2.96</v>
      </c>
      <c r="I13" s="27">
        <v>0.47</v>
      </c>
      <c r="J13" s="10">
        <v>-0.3</v>
      </c>
      <c r="K13" s="12">
        <f t="shared" si="0"/>
        <v>12.959999999999999</v>
      </c>
      <c r="L13" s="5">
        <f t="shared" si="1"/>
        <v>6.1829111206526399E-2</v>
      </c>
      <c r="M13" s="10">
        <f t="shared" si="2"/>
        <v>12.659999999999998</v>
      </c>
    </row>
    <row r="14" spans="1:13" ht="15" customHeight="1" x14ac:dyDescent="0.25">
      <c r="A14" s="14" t="s">
        <v>75</v>
      </c>
      <c r="B14" s="27">
        <v>0.48</v>
      </c>
      <c r="C14" s="27">
        <v>2.77</v>
      </c>
      <c r="D14" s="27">
        <v>0.76</v>
      </c>
      <c r="E14" s="27">
        <v>1.07</v>
      </c>
      <c r="F14" s="27">
        <v>0.65</v>
      </c>
      <c r="G14" s="27">
        <v>3.04</v>
      </c>
      <c r="H14" s="27">
        <v>3.48</v>
      </c>
      <c r="I14" s="27">
        <v>0.4</v>
      </c>
      <c r="J14" s="10">
        <v>-0.33</v>
      </c>
      <c r="K14" s="12">
        <f t="shared" si="0"/>
        <v>12.65</v>
      </c>
      <c r="L14" s="5">
        <f t="shared" si="1"/>
        <v>6.0350174132913506E-2</v>
      </c>
      <c r="M14" s="10">
        <f t="shared" si="2"/>
        <v>12.32</v>
      </c>
    </row>
    <row r="15" spans="1:13" ht="15" customHeight="1" x14ac:dyDescent="0.25">
      <c r="A15" s="14" t="s">
        <v>78</v>
      </c>
      <c r="B15" s="27">
        <v>2.1</v>
      </c>
      <c r="C15" s="27">
        <v>2.4700000000000002</v>
      </c>
      <c r="D15" s="27">
        <v>0.51</v>
      </c>
      <c r="E15" s="27">
        <v>0.93</v>
      </c>
      <c r="F15" s="27">
        <v>0.33</v>
      </c>
      <c r="G15" s="27">
        <v>1.22</v>
      </c>
      <c r="H15" s="27">
        <v>2.37</v>
      </c>
      <c r="I15" s="27">
        <v>0.36</v>
      </c>
      <c r="J15" s="10">
        <v>-0.25</v>
      </c>
      <c r="K15" s="12">
        <f t="shared" si="0"/>
        <v>10.29</v>
      </c>
      <c r="L15" s="5">
        <f t="shared" si="1"/>
        <v>4.9091169314441095E-2</v>
      </c>
      <c r="M15" s="10">
        <f t="shared" si="2"/>
        <v>10.039999999999999</v>
      </c>
    </row>
    <row r="16" spans="1:13" ht="15" customHeight="1" x14ac:dyDescent="0.25">
      <c r="A16" s="14" t="s">
        <v>80</v>
      </c>
      <c r="B16" s="27">
        <v>0.4</v>
      </c>
      <c r="C16" s="27">
        <v>2.2999999999999998</v>
      </c>
      <c r="D16" s="27">
        <v>0.28000000000000003</v>
      </c>
      <c r="E16" s="27">
        <v>0.86</v>
      </c>
      <c r="F16" s="27">
        <v>2.94</v>
      </c>
      <c r="G16" s="27">
        <v>1.52</v>
      </c>
      <c r="H16" s="27">
        <v>2.81</v>
      </c>
      <c r="I16" s="27">
        <v>0.33</v>
      </c>
      <c r="J16" s="10">
        <v>-0.47</v>
      </c>
      <c r="K16" s="12">
        <f t="shared" si="0"/>
        <v>11.44</v>
      </c>
      <c r="L16" s="5">
        <f t="shared" si="1"/>
        <v>5.4577548781069601E-2</v>
      </c>
      <c r="M16" s="10">
        <f t="shared" si="2"/>
        <v>10.969999999999999</v>
      </c>
    </row>
    <row r="17" spans="1:13" ht="15" customHeight="1" x14ac:dyDescent="0.25">
      <c r="A17" s="14" t="s">
        <v>83</v>
      </c>
      <c r="B17" s="27">
        <v>0.28000000000000003</v>
      </c>
      <c r="C17" s="27">
        <v>1.64</v>
      </c>
      <c r="D17" s="27">
        <v>0.36</v>
      </c>
      <c r="E17" s="27">
        <v>0.64</v>
      </c>
      <c r="F17" s="27">
        <v>0.16</v>
      </c>
      <c r="G17" s="27">
        <v>0.61</v>
      </c>
      <c r="H17" s="27">
        <v>2.04</v>
      </c>
      <c r="I17" s="27">
        <v>0.24</v>
      </c>
      <c r="J17" s="10">
        <v>-0.26</v>
      </c>
      <c r="K17" s="12">
        <f t="shared" si="0"/>
        <v>5.9700000000000006</v>
      </c>
      <c r="L17" s="5">
        <f t="shared" si="1"/>
        <v>2.8481465578932302E-2</v>
      </c>
      <c r="M17" s="10">
        <f t="shared" si="2"/>
        <v>5.7100000000000009</v>
      </c>
    </row>
    <row r="18" spans="1:13" ht="15" customHeight="1" x14ac:dyDescent="0.25">
      <c r="A18" s="14" t="s">
        <v>85</v>
      </c>
      <c r="B18" s="27">
        <v>0.21</v>
      </c>
      <c r="C18" s="27">
        <v>1.2</v>
      </c>
      <c r="D18" s="27">
        <v>0.25</v>
      </c>
      <c r="E18" s="27">
        <v>0.49</v>
      </c>
      <c r="F18" s="27">
        <v>0.16</v>
      </c>
      <c r="G18" s="27">
        <v>2.13</v>
      </c>
      <c r="H18" s="27">
        <v>2.2799999999999998</v>
      </c>
      <c r="I18" s="27">
        <v>0.17</v>
      </c>
      <c r="J18" s="10">
        <v>-0.32</v>
      </c>
      <c r="K18" s="12">
        <f t="shared" si="0"/>
        <v>6.8899999999999988</v>
      </c>
      <c r="L18" s="5">
        <f t="shared" si="1"/>
        <v>3.2870569152235095E-2</v>
      </c>
      <c r="M18" s="10">
        <f t="shared" si="2"/>
        <v>6.5699999999999985</v>
      </c>
    </row>
    <row r="19" spans="1:13" ht="15" customHeight="1" x14ac:dyDescent="0.25">
      <c r="A19" s="14" t="s">
        <v>87</v>
      </c>
      <c r="B19" s="27">
        <v>14.92</v>
      </c>
      <c r="C19" s="27">
        <v>0.75</v>
      </c>
      <c r="D19" s="27">
        <v>0.35</v>
      </c>
      <c r="E19" s="27">
        <v>0.32</v>
      </c>
      <c r="F19" s="27">
        <v>0.33</v>
      </c>
      <c r="G19" s="27">
        <v>0.61</v>
      </c>
      <c r="H19" s="27">
        <v>1</v>
      </c>
      <c r="I19" s="27">
        <v>0.11</v>
      </c>
      <c r="J19" s="10">
        <v>-0.12</v>
      </c>
      <c r="K19" s="12">
        <f t="shared" si="0"/>
        <v>18.389999999999997</v>
      </c>
      <c r="L19" s="5">
        <f t="shared" si="1"/>
        <v>8.7734363818520095E-2</v>
      </c>
      <c r="M19" s="10">
        <f t="shared" si="2"/>
        <v>18.269999999999996</v>
      </c>
    </row>
    <row r="20" spans="1:13" ht="15" customHeight="1" x14ac:dyDescent="0.25">
      <c r="A20" s="14" t="s">
        <v>89</v>
      </c>
      <c r="B20" s="27">
        <v>2.8</v>
      </c>
      <c r="C20" s="27">
        <v>1.66</v>
      </c>
      <c r="D20" s="27">
        <v>0.51</v>
      </c>
      <c r="E20" s="27">
        <v>0.62</v>
      </c>
      <c r="F20" s="27">
        <v>2.94</v>
      </c>
      <c r="G20" s="27">
        <v>0.91</v>
      </c>
      <c r="H20" s="27">
        <v>1.38</v>
      </c>
      <c r="I20" s="27">
        <v>0.24</v>
      </c>
      <c r="J20" s="10">
        <v>-2.02</v>
      </c>
      <c r="K20" s="12">
        <f t="shared" si="0"/>
        <v>11.06</v>
      </c>
      <c r="L20" s="5">
        <f t="shared" si="1"/>
        <v>5.2764658174705402E-2</v>
      </c>
      <c r="M20" s="10">
        <f t="shared" si="2"/>
        <v>9.0400000000000009</v>
      </c>
    </row>
    <row r="21" spans="1:13" ht="15" customHeight="1" x14ac:dyDescent="0.25">
      <c r="A21" s="3" t="s">
        <v>119</v>
      </c>
      <c r="B21" s="12">
        <f t="shared" ref="B21:K21" si="3">SUM(B7:B20)</f>
        <v>50.47</v>
      </c>
      <c r="C21" s="12">
        <f t="shared" si="3"/>
        <v>29.9</v>
      </c>
      <c r="D21" s="12">
        <f t="shared" si="3"/>
        <v>14.019999999999998</v>
      </c>
      <c r="E21" s="12">
        <f t="shared" si="3"/>
        <v>13</v>
      </c>
      <c r="F21" s="12">
        <f t="shared" si="3"/>
        <v>32.009999999999991</v>
      </c>
      <c r="G21" s="12">
        <f t="shared" si="3"/>
        <v>30.439999999999998</v>
      </c>
      <c r="H21" s="12">
        <f t="shared" si="3"/>
        <v>35.300000000000004</v>
      </c>
      <c r="I21" s="12">
        <f t="shared" si="3"/>
        <v>4.33</v>
      </c>
      <c r="J21" s="25">
        <f t="shared" si="3"/>
        <v>-8.52</v>
      </c>
      <c r="K21" s="12">
        <f t="shared" si="3"/>
        <v>209.46999999999997</v>
      </c>
      <c r="L21" s="8">
        <f>K21/K6</f>
        <v>0.99933209293449721</v>
      </c>
      <c r="M21" s="12">
        <f>SUM(M7:M20)</f>
        <v>200.94999999999996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Normal="100" workbookViewId="0">
      <selection activeCell="I15" sqref="I15"/>
    </sheetView>
  </sheetViews>
  <sheetFormatPr defaultColWidth="8.7109375" defaultRowHeight="15" x14ac:dyDescent="0.25"/>
  <cols>
    <col min="1" max="1" width="22" customWidth="1"/>
    <col min="2" max="2" width="16" customWidth="1"/>
    <col min="3" max="3" width="18" customWidth="1"/>
    <col min="4" max="5" width="16" customWidth="1"/>
    <col min="6" max="6" width="18" customWidth="1"/>
    <col min="7" max="9" width="16" customWidth="1"/>
  </cols>
  <sheetData>
    <row r="1" spans="1:9" ht="17.25" customHeight="1" x14ac:dyDescent="0.25">
      <c r="A1" s="35" t="s">
        <v>120</v>
      </c>
      <c r="B1" s="35"/>
      <c r="C1" s="35"/>
      <c r="D1" s="35"/>
      <c r="E1" s="35"/>
      <c r="F1" s="35"/>
      <c r="G1" s="35"/>
    </row>
    <row r="3" spans="1:9" ht="51.75" customHeight="1" x14ac:dyDescent="0.25">
      <c r="A3" s="2" t="s">
        <v>43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</row>
    <row r="4" spans="1:9" ht="15" customHeight="1" x14ac:dyDescent="0.25">
      <c r="A4" s="14" t="s">
        <v>54</v>
      </c>
      <c r="B4" s="28">
        <f>'Regional Parameters'!B5</f>
        <v>2940</v>
      </c>
      <c r="C4" s="27">
        <f>'Emissions by Region'!J7</f>
        <v>-0.06</v>
      </c>
      <c r="D4" s="29">
        <f t="shared" ref="D4:D18" si="0">C4*1000/B4</f>
        <v>-2.0408163265306121E-2</v>
      </c>
      <c r="E4" s="30">
        <f t="shared" ref="E4:E17" si="1">D4/6</f>
        <v>-3.4013605442176869E-3</v>
      </c>
      <c r="F4" s="29">
        <f>'Emissions by Region'!K7/'Regional Parameters'!D5</f>
        <v>96.761363636363626</v>
      </c>
      <c r="G4" s="14" t="str">
        <f t="shared" ref="G4:G17" si="2">IF(D4&gt;10,"Very High",IF(D4&gt;6,"High",IF(D4&gt;4,"Medium","Low")))</f>
        <v>Low</v>
      </c>
      <c r="H4" s="10">
        <f>'Emissions by Region'!M7</f>
        <v>16.97</v>
      </c>
      <c r="I4" s="31">
        <f t="shared" ref="I4:I18" si="3">H4*1000/B4</f>
        <v>5.7721088435374153</v>
      </c>
    </row>
    <row r="5" spans="1:9" ht="15" customHeight="1" x14ac:dyDescent="0.25">
      <c r="A5" s="14" t="s">
        <v>57</v>
      </c>
      <c r="B5" s="28">
        <f>'Regional Parameters'!B6</f>
        <v>2960</v>
      </c>
      <c r="C5" s="27">
        <f>'Emissions by Region'!J8</f>
        <v>-0.43</v>
      </c>
      <c r="D5" s="29">
        <f t="shared" si="0"/>
        <v>-0.14527027027027026</v>
      </c>
      <c r="E5" s="30">
        <f t="shared" si="1"/>
        <v>-2.4211711711711711E-2</v>
      </c>
      <c r="F5" s="29">
        <f>'Emissions by Region'!K8/'Regional Parameters'!D6</f>
        <v>200.10416666666666</v>
      </c>
      <c r="G5" s="14" t="str">
        <f t="shared" si="2"/>
        <v>Low</v>
      </c>
      <c r="H5" s="10">
        <f>'Emissions by Region'!M8</f>
        <v>18.78</v>
      </c>
      <c r="I5" s="31">
        <f t="shared" si="3"/>
        <v>6.3445945945945947</v>
      </c>
    </row>
    <row r="6" spans="1:9" ht="15" customHeight="1" x14ac:dyDescent="0.25">
      <c r="A6" s="14" t="s">
        <v>60</v>
      </c>
      <c r="B6" s="28">
        <f>'Regional Parameters'!B7</f>
        <v>1020</v>
      </c>
      <c r="C6" s="27">
        <f>'Emissions by Region'!J9</f>
        <v>-1.54</v>
      </c>
      <c r="D6" s="29">
        <f t="shared" si="0"/>
        <v>-1.5098039215686274</v>
      </c>
      <c r="E6" s="30">
        <f t="shared" si="1"/>
        <v>-0.25163398692810457</v>
      </c>
      <c r="F6" s="29">
        <f>'Emissions by Region'!K9/'Regional Parameters'!D7</f>
        <v>254.64285714285717</v>
      </c>
      <c r="G6" s="14" t="str">
        <f t="shared" si="2"/>
        <v>Low</v>
      </c>
      <c r="H6" s="10">
        <f>'Emissions by Region'!M9</f>
        <v>19.850000000000005</v>
      </c>
      <c r="I6" s="31">
        <f t="shared" si="3"/>
        <v>19.460784313725494</v>
      </c>
    </row>
    <row r="7" spans="1:9" ht="15" customHeight="1" x14ac:dyDescent="0.25">
      <c r="A7" s="14" t="s">
        <v>63</v>
      </c>
      <c r="B7" s="28">
        <f>'Regional Parameters'!B8</f>
        <v>3320</v>
      </c>
      <c r="C7" s="27">
        <f>'Emissions by Region'!J10</f>
        <v>-0.63</v>
      </c>
      <c r="D7" s="29">
        <f t="shared" si="0"/>
        <v>-0.18975903614457831</v>
      </c>
      <c r="E7" s="30">
        <f t="shared" si="1"/>
        <v>-3.1626506024096383E-2</v>
      </c>
      <c r="F7" s="29">
        <f>'Emissions by Region'!K10/'Regional Parameters'!D8</f>
        <v>519.84126984126976</v>
      </c>
      <c r="G7" s="14" t="str">
        <f t="shared" si="2"/>
        <v>Low</v>
      </c>
      <c r="H7" s="10">
        <f>'Emissions by Region'!M10</f>
        <v>32.11999999999999</v>
      </c>
      <c r="I7" s="31">
        <f t="shared" si="3"/>
        <v>9.6746987951807188</v>
      </c>
    </row>
    <row r="8" spans="1:9" ht="15" customHeight="1" x14ac:dyDescent="0.25">
      <c r="A8" s="14" t="s">
        <v>66</v>
      </c>
      <c r="B8" s="28">
        <f>'Regional Parameters'!B9</f>
        <v>1960</v>
      </c>
      <c r="C8" s="27">
        <f>'Emissions by Region'!J11</f>
        <v>-1.37</v>
      </c>
      <c r="D8" s="29">
        <f t="shared" si="0"/>
        <v>-0.69897959183673475</v>
      </c>
      <c r="E8" s="30">
        <f t="shared" si="1"/>
        <v>-0.11649659863945579</v>
      </c>
      <c r="F8" s="29">
        <f>'Emissions by Region'!K11/'Regional Parameters'!D9</f>
        <v>340.4</v>
      </c>
      <c r="G8" s="14" t="str">
        <f t="shared" si="2"/>
        <v>Low</v>
      </c>
      <c r="H8" s="10">
        <f>'Emissions by Region'!M11</f>
        <v>15.649999999999999</v>
      </c>
      <c r="I8" s="31">
        <f t="shared" si="3"/>
        <v>7.9846938775510194</v>
      </c>
    </row>
    <row r="9" spans="1:9" ht="15" customHeight="1" x14ac:dyDescent="0.25">
      <c r="A9" s="14" t="s">
        <v>69</v>
      </c>
      <c r="B9" s="28">
        <f>'Regional Parameters'!B10</f>
        <v>3950</v>
      </c>
      <c r="C9" s="27">
        <f>'Emissions by Region'!J12</f>
        <v>-0.42</v>
      </c>
      <c r="D9" s="29">
        <f t="shared" si="0"/>
        <v>-0.10632911392405063</v>
      </c>
      <c r="E9" s="30">
        <f t="shared" si="1"/>
        <v>-1.7721518987341773E-2</v>
      </c>
      <c r="F9" s="29">
        <f>'Emissions by Region'!K12/'Regional Parameters'!D10</f>
        <v>207</v>
      </c>
      <c r="G9" s="14" t="str">
        <f t="shared" si="2"/>
        <v>Low</v>
      </c>
      <c r="H9" s="10">
        <f>'Emissions by Region'!M12</f>
        <v>12</v>
      </c>
      <c r="I9" s="31">
        <f t="shared" si="3"/>
        <v>3.037974683544304</v>
      </c>
    </row>
    <row r="10" spans="1:9" ht="15" customHeight="1" x14ac:dyDescent="0.25">
      <c r="A10" s="14" t="s">
        <v>72</v>
      </c>
      <c r="B10" s="28">
        <f>'Regional Parameters'!B11</f>
        <v>3780</v>
      </c>
      <c r="C10" s="27">
        <f>'Emissions by Region'!J13</f>
        <v>-0.3</v>
      </c>
      <c r="D10" s="29">
        <f t="shared" si="0"/>
        <v>-7.9365079365079361E-2</v>
      </c>
      <c r="E10" s="30">
        <f t="shared" si="1"/>
        <v>-1.3227513227513227E-2</v>
      </c>
      <c r="F10" s="29">
        <f>'Emissions by Region'!K13/'Regional Parameters'!D11</f>
        <v>231.42857142857142</v>
      </c>
      <c r="G10" s="14" t="str">
        <f t="shared" si="2"/>
        <v>Low</v>
      </c>
      <c r="H10" s="10">
        <f>'Emissions by Region'!M13</f>
        <v>12.659999999999998</v>
      </c>
      <c r="I10" s="31">
        <f t="shared" si="3"/>
        <v>3.3492063492063489</v>
      </c>
    </row>
    <row r="11" spans="1:9" ht="15" customHeight="1" x14ac:dyDescent="0.25">
      <c r="A11" s="14" t="s">
        <v>75</v>
      </c>
      <c r="B11" s="28">
        <f>'Regional Parameters'!B12</f>
        <v>3230</v>
      </c>
      <c r="C11" s="27">
        <f>'Emissions by Region'!J14</f>
        <v>-0.33</v>
      </c>
      <c r="D11" s="29">
        <f t="shared" si="0"/>
        <v>-0.1021671826625387</v>
      </c>
      <c r="E11" s="30">
        <f t="shared" si="1"/>
        <v>-1.7027863777089782E-2</v>
      </c>
      <c r="F11" s="29">
        <f>'Emissions by Region'!K14/'Regional Parameters'!D12</f>
        <v>243.26923076923077</v>
      </c>
      <c r="G11" s="14" t="str">
        <f t="shared" si="2"/>
        <v>Low</v>
      </c>
      <c r="H11" s="10">
        <f>'Emissions by Region'!M14</f>
        <v>12.32</v>
      </c>
      <c r="I11" s="31">
        <f t="shared" si="3"/>
        <v>3.8142414860681115</v>
      </c>
    </row>
    <row r="12" spans="1:9" ht="15" customHeight="1" x14ac:dyDescent="0.25">
      <c r="A12" s="14" t="s">
        <v>78</v>
      </c>
      <c r="B12" s="28">
        <f>'Regional Parameters'!B13</f>
        <v>2880</v>
      </c>
      <c r="C12" s="27">
        <f>'Emissions by Region'!J15</f>
        <v>-0.25</v>
      </c>
      <c r="D12" s="29">
        <f t="shared" si="0"/>
        <v>-8.6805555555555552E-2</v>
      </c>
      <c r="E12" s="30">
        <f t="shared" si="1"/>
        <v>-1.4467592592592593E-2</v>
      </c>
      <c r="F12" s="29">
        <f>'Emissions by Region'!K15/'Regional Parameters'!D13</f>
        <v>244.99999999999997</v>
      </c>
      <c r="G12" s="14" t="str">
        <f t="shared" si="2"/>
        <v>Low</v>
      </c>
      <c r="H12" s="10">
        <f>'Emissions by Region'!M15</f>
        <v>10.039999999999999</v>
      </c>
      <c r="I12" s="31">
        <f t="shared" si="3"/>
        <v>3.4861111111111112</v>
      </c>
    </row>
    <row r="13" spans="1:9" ht="15" customHeight="1" x14ac:dyDescent="0.25">
      <c r="A13" s="14" t="s">
        <v>80</v>
      </c>
      <c r="B13" s="28">
        <f>'Regional Parameters'!B14</f>
        <v>2680</v>
      </c>
      <c r="C13" s="27">
        <f>'Emissions by Region'!J16</f>
        <v>-0.47</v>
      </c>
      <c r="D13" s="29">
        <f t="shared" si="0"/>
        <v>-0.17537313432835822</v>
      </c>
      <c r="E13" s="30">
        <f t="shared" si="1"/>
        <v>-2.9228855721393037E-2</v>
      </c>
      <c r="F13" s="29">
        <f>'Emissions by Region'!K16/'Regional Parameters'!D14</f>
        <v>301.05263157894734</v>
      </c>
      <c r="G13" s="14" t="str">
        <f t="shared" si="2"/>
        <v>Low</v>
      </c>
      <c r="H13" s="10">
        <f>'Emissions by Region'!M16</f>
        <v>10.969999999999999</v>
      </c>
      <c r="I13" s="31">
        <f t="shared" si="3"/>
        <v>4.0932835820895512</v>
      </c>
    </row>
    <row r="14" spans="1:9" ht="15" customHeight="1" x14ac:dyDescent="0.25">
      <c r="A14" s="14" t="s">
        <v>83</v>
      </c>
      <c r="B14" s="28">
        <f>'Regional Parameters'!B15</f>
        <v>1910</v>
      </c>
      <c r="C14" s="27">
        <f>'Emissions by Region'!J17</f>
        <v>-0.26</v>
      </c>
      <c r="D14" s="29">
        <f t="shared" si="0"/>
        <v>-0.13612565445026178</v>
      </c>
      <c r="E14" s="30">
        <f t="shared" si="1"/>
        <v>-2.2687609075043632E-2</v>
      </c>
      <c r="F14" s="29">
        <f>'Emissions by Region'!K17/'Regional Parameters'!D15</f>
        <v>180.90909090909091</v>
      </c>
      <c r="G14" s="14" t="str">
        <f t="shared" si="2"/>
        <v>Low</v>
      </c>
      <c r="H14" s="10">
        <f>'Emissions by Region'!M17</f>
        <v>5.7100000000000009</v>
      </c>
      <c r="I14" s="31">
        <f t="shared" si="3"/>
        <v>2.9895287958115189</v>
      </c>
    </row>
    <row r="15" spans="1:9" ht="15" customHeight="1" x14ac:dyDescent="0.25">
      <c r="A15" s="14" t="s">
        <v>85</v>
      </c>
      <c r="B15" s="28">
        <f>'Regional Parameters'!B16</f>
        <v>1400</v>
      </c>
      <c r="C15" s="27">
        <f>'Emissions by Region'!J18</f>
        <v>-0.32</v>
      </c>
      <c r="D15" s="29">
        <f t="shared" si="0"/>
        <v>-0.22857142857142856</v>
      </c>
      <c r="E15" s="30">
        <f t="shared" si="1"/>
        <v>-3.8095238095238092E-2</v>
      </c>
      <c r="F15" s="29">
        <f>'Emissions by Region'!K18/'Regional Parameters'!D16</f>
        <v>255.18518518518513</v>
      </c>
      <c r="G15" s="14" t="str">
        <f t="shared" si="2"/>
        <v>Low</v>
      </c>
      <c r="H15" s="10">
        <f>'Emissions by Region'!M18</f>
        <v>6.5699999999999985</v>
      </c>
      <c r="I15" s="31">
        <f t="shared" si="3"/>
        <v>4.6928571428571413</v>
      </c>
    </row>
    <row r="16" spans="1:9" ht="15" customHeight="1" x14ac:dyDescent="0.25">
      <c r="A16" s="14" t="s">
        <v>87</v>
      </c>
      <c r="B16" s="28">
        <f>'Regional Parameters'!B17</f>
        <v>870</v>
      </c>
      <c r="C16" s="27">
        <f>'Emissions by Region'!J19</f>
        <v>-0.12</v>
      </c>
      <c r="D16" s="29">
        <f t="shared" si="0"/>
        <v>-0.13793103448275862</v>
      </c>
      <c r="E16" s="30">
        <f t="shared" si="1"/>
        <v>-2.2988505747126436E-2</v>
      </c>
      <c r="F16" s="29">
        <f>'Emissions by Region'!K19/'Regional Parameters'!D17</f>
        <v>967.89473684210509</v>
      </c>
      <c r="G16" s="14" t="str">
        <f t="shared" si="2"/>
        <v>Low</v>
      </c>
      <c r="H16" s="10">
        <f>'Emissions by Region'!M19</f>
        <v>18.269999999999996</v>
      </c>
      <c r="I16" s="31">
        <f t="shared" si="3"/>
        <v>20.999999999999996</v>
      </c>
    </row>
    <row r="17" spans="1:9" ht="15" customHeight="1" x14ac:dyDescent="0.25">
      <c r="A17" s="14" t="s">
        <v>89</v>
      </c>
      <c r="B17" s="28">
        <f>'Regional Parameters'!B18</f>
        <v>1930</v>
      </c>
      <c r="C17" s="27">
        <f>'Emissions by Region'!J20</f>
        <v>-2.02</v>
      </c>
      <c r="D17" s="29">
        <f t="shared" si="0"/>
        <v>-1.0466321243523315</v>
      </c>
      <c r="E17" s="30">
        <f t="shared" si="1"/>
        <v>-0.17443868739205526</v>
      </c>
      <c r="F17" s="29">
        <f>'Emissions by Region'!K20/'Regional Parameters'!D18</f>
        <v>395</v>
      </c>
      <c r="G17" s="14" t="str">
        <f t="shared" si="2"/>
        <v>Low</v>
      </c>
      <c r="H17" s="10">
        <f>'Emissions by Region'!M20</f>
        <v>9.0400000000000009</v>
      </c>
      <c r="I17" s="31">
        <f>H17*1000/B17</f>
        <v>4.6839378238341975</v>
      </c>
    </row>
    <row r="18" spans="1:9" ht="15" customHeight="1" x14ac:dyDescent="0.25">
      <c r="A18" s="3" t="s">
        <v>129</v>
      </c>
      <c r="B18" s="20">
        <v>34939</v>
      </c>
      <c r="C18" s="12">
        <v>209.61</v>
      </c>
      <c r="D18" s="32">
        <f t="shared" si="0"/>
        <v>5.9993130885257164</v>
      </c>
      <c r="E18" s="33">
        <v>1</v>
      </c>
      <c r="F18" s="32">
        <v>1</v>
      </c>
      <c r="G18" s="3" t="s">
        <v>130</v>
      </c>
      <c r="H18" s="12">
        <v>201.15</v>
      </c>
      <c r="I18" s="32">
        <f t="shared" si="3"/>
        <v>5.7571767938406939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topLeftCell="A16" zoomScaleNormal="100" workbookViewId="0">
      <selection activeCell="A43" sqref="A43"/>
    </sheetView>
  </sheetViews>
  <sheetFormatPr defaultColWidth="8.7109375" defaultRowHeight="15" x14ac:dyDescent="0.25"/>
  <cols>
    <col min="1" max="1" width="100" customWidth="1"/>
  </cols>
  <sheetData>
    <row r="1" spans="1:1" ht="17.25" customHeight="1" x14ac:dyDescent="0.25">
      <c r="A1" s="1" t="s">
        <v>131</v>
      </c>
    </row>
    <row r="2" spans="1:1" ht="15" customHeight="1" x14ac:dyDescent="0.25">
      <c r="A2" s="34"/>
    </row>
    <row r="3" spans="1:1" ht="15" customHeight="1" x14ac:dyDescent="0.25">
      <c r="A3" s="13" t="s">
        <v>132</v>
      </c>
    </row>
    <row r="4" spans="1:1" ht="15" customHeight="1" x14ac:dyDescent="0.25">
      <c r="A4" s="34" t="s">
        <v>133</v>
      </c>
    </row>
    <row r="5" spans="1:1" ht="15" customHeight="1" x14ac:dyDescent="0.25">
      <c r="A5" s="34" t="s">
        <v>134</v>
      </c>
    </row>
    <row r="6" spans="1:1" ht="15" customHeight="1" x14ac:dyDescent="0.25">
      <c r="A6" s="34" t="s">
        <v>135</v>
      </c>
    </row>
    <row r="7" spans="1:1" ht="15" customHeight="1" x14ac:dyDescent="0.25">
      <c r="A7" s="34" t="s">
        <v>136</v>
      </c>
    </row>
    <row r="8" spans="1:1" ht="15" customHeight="1" x14ac:dyDescent="0.25">
      <c r="A8" s="34" t="s">
        <v>137</v>
      </c>
    </row>
    <row r="9" spans="1:1" ht="15" customHeight="1" x14ac:dyDescent="0.25">
      <c r="A9" s="34"/>
    </row>
    <row r="10" spans="1:1" ht="15" customHeight="1" x14ac:dyDescent="0.25">
      <c r="A10" s="13" t="s">
        <v>138</v>
      </c>
    </row>
    <row r="11" spans="1:1" ht="15" customHeight="1" x14ac:dyDescent="0.25">
      <c r="A11" s="34" t="s">
        <v>139</v>
      </c>
    </row>
    <row r="12" spans="1:1" ht="15" customHeight="1" x14ac:dyDescent="0.25">
      <c r="A12" s="34"/>
    </row>
    <row r="13" spans="1:1" ht="15" customHeight="1" x14ac:dyDescent="0.25">
      <c r="A13" s="34" t="s">
        <v>140</v>
      </c>
    </row>
    <row r="14" spans="1:1" ht="15" customHeight="1" x14ac:dyDescent="0.25">
      <c r="A14" s="34" t="s">
        <v>141</v>
      </c>
    </row>
    <row r="15" spans="1:1" ht="15" customHeight="1" x14ac:dyDescent="0.25">
      <c r="A15" s="34"/>
    </row>
    <row r="16" spans="1:1" ht="15" customHeight="1" x14ac:dyDescent="0.25">
      <c r="A16" s="34" t="s">
        <v>142</v>
      </c>
    </row>
    <row r="17" spans="1:1" ht="15" customHeight="1" x14ac:dyDescent="0.25">
      <c r="A17" s="34" t="s">
        <v>143</v>
      </c>
    </row>
    <row r="18" spans="1:1" ht="15" customHeight="1" x14ac:dyDescent="0.25">
      <c r="A18" s="34"/>
    </row>
    <row r="19" spans="1:1" ht="15" customHeight="1" x14ac:dyDescent="0.25">
      <c r="A19" s="34" t="s">
        <v>144</v>
      </c>
    </row>
    <row r="20" spans="1:1" ht="15" customHeight="1" x14ac:dyDescent="0.25">
      <c r="A20" s="34" t="s">
        <v>145</v>
      </c>
    </row>
    <row r="21" spans="1:1" ht="15" customHeight="1" x14ac:dyDescent="0.25">
      <c r="A21" s="34"/>
    </row>
    <row r="22" spans="1:1" ht="15" customHeight="1" x14ac:dyDescent="0.25">
      <c r="A22" s="34" t="s">
        <v>146</v>
      </c>
    </row>
    <row r="23" spans="1:1" ht="15" customHeight="1" x14ac:dyDescent="0.25">
      <c r="A23" s="34" t="s">
        <v>147</v>
      </c>
    </row>
    <row r="24" spans="1:1" ht="15" customHeight="1" x14ac:dyDescent="0.25">
      <c r="A24" s="34"/>
    </row>
    <row r="25" spans="1:1" ht="15" customHeight="1" x14ac:dyDescent="0.25">
      <c r="A25" s="34" t="s">
        <v>148</v>
      </c>
    </row>
    <row r="26" spans="1:1" ht="15" customHeight="1" x14ac:dyDescent="0.25">
      <c r="A26" s="34" t="s">
        <v>149</v>
      </c>
    </row>
    <row r="27" spans="1:1" ht="15" customHeight="1" x14ac:dyDescent="0.25">
      <c r="A27" s="34"/>
    </row>
    <row r="28" spans="1:1" ht="15" customHeight="1" x14ac:dyDescent="0.25">
      <c r="A28" s="34" t="s">
        <v>150</v>
      </c>
    </row>
    <row r="29" spans="1:1" ht="15" customHeight="1" x14ac:dyDescent="0.25">
      <c r="A29" s="34" t="s">
        <v>151</v>
      </c>
    </row>
    <row r="30" spans="1:1" ht="15" customHeight="1" x14ac:dyDescent="0.25">
      <c r="A30" s="34"/>
    </row>
    <row r="31" spans="1:1" ht="15" customHeight="1" x14ac:dyDescent="0.25">
      <c r="A31" s="34" t="s">
        <v>152</v>
      </c>
    </row>
    <row r="32" spans="1:1" ht="15" customHeight="1" x14ac:dyDescent="0.25">
      <c r="A32" s="34" t="s">
        <v>153</v>
      </c>
    </row>
    <row r="33" spans="1:1" ht="15" customHeight="1" x14ac:dyDescent="0.25">
      <c r="A33" s="34"/>
    </row>
    <row r="34" spans="1:1" ht="15" customHeight="1" x14ac:dyDescent="0.25">
      <c r="A34" s="34" t="s">
        <v>154</v>
      </c>
    </row>
    <row r="35" spans="1:1" ht="15" customHeight="1" x14ac:dyDescent="0.25">
      <c r="A35" s="34" t="s">
        <v>155</v>
      </c>
    </row>
    <row r="36" spans="1:1" ht="15" customHeight="1" x14ac:dyDescent="0.25">
      <c r="A36" s="34"/>
    </row>
    <row r="37" spans="1:1" ht="15" customHeight="1" x14ac:dyDescent="0.25">
      <c r="A37" s="13" t="s">
        <v>156</v>
      </c>
    </row>
    <row r="38" spans="1:1" ht="15" customHeight="1" x14ac:dyDescent="0.25">
      <c r="A38" s="34" t="s">
        <v>157</v>
      </c>
    </row>
    <row r="39" spans="1:1" ht="15" customHeight="1" x14ac:dyDescent="0.25">
      <c r="A39" s="34" t="s">
        <v>158</v>
      </c>
    </row>
    <row r="40" spans="1:1" ht="15" customHeight="1" x14ac:dyDescent="0.25">
      <c r="A40" s="34" t="s">
        <v>159</v>
      </c>
    </row>
    <row r="41" spans="1:1" ht="15" customHeight="1" x14ac:dyDescent="0.25">
      <c r="A41" s="34" t="s">
        <v>160</v>
      </c>
    </row>
    <row r="42" spans="1:1" ht="15" customHeight="1" x14ac:dyDescent="0.25">
      <c r="A42" s="34" t="s">
        <v>161</v>
      </c>
    </row>
    <row r="43" spans="1:1" ht="15" customHeight="1" x14ac:dyDescent="0.25">
      <c r="A43" s="34" t="s">
        <v>162</v>
      </c>
    </row>
    <row r="44" spans="1:1" ht="15" customHeight="1" x14ac:dyDescent="0.25">
      <c r="A44" s="34" t="s">
        <v>163</v>
      </c>
    </row>
    <row r="45" spans="1:1" ht="15" customHeight="1" x14ac:dyDescent="0.25">
      <c r="A45" s="34"/>
    </row>
    <row r="46" spans="1:1" ht="15" customHeight="1" x14ac:dyDescent="0.25">
      <c r="A46" s="13" t="s">
        <v>164</v>
      </c>
    </row>
    <row r="47" spans="1:1" ht="15" customHeight="1" x14ac:dyDescent="0.25">
      <c r="A47" s="34" t="s">
        <v>165</v>
      </c>
    </row>
    <row r="48" spans="1:1" ht="15" customHeight="1" x14ac:dyDescent="0.25">
      <c r="A48" s="34" t="s">
        <v>166</v>
      </c>
    </row>
    <row r="49" spans="1:1" ht="15" customHeight="1" x14ac:dyDescent="0.25">
      <c r="A49" s="34" t="s">
        <v>167</v>
      </c>
    </row>
    <row r="50" spans="1:1" ht="15" customHeight="1" x14ac:dyDescent="0.25">
      <c r="A50" s="34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National Emissions 2022</vt:lpstr>
      <vt:lpstr>Regional Parameters</vt:lpstr>
      <vt:lpstr>Emissions by Region</vt:lpstr>
      <vt:lpstr>Per Capita Analysis</vt:lpstr>
      <vt:lpstr>Methodology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0</cp:revision>
  <dcterms:created xsi:type="dcterms:W3CDTF">2026-03-18T16:58:47Z</dcterms:created>
  <dcterms:modified xsi:type="dcterms:W3CDTF">2026-03-19T04:58:29Z</dcterms:modified>
  <dc:language>en-US</dc:language>
</cp:coreProperties>
</file>